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6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elizabethsavochkina/Desktop/"/>
    </mc:Choice>
  </mc:AlternateContent>
  <xr:revisionPtr revIDLastSave="0" documentId="8_{69F052E3-7FFD-6948-AA46-1CF82DAEC9BA}" xr6:coauthVersionLast="47" xr6:coauthVersionMax="47" xr10:uidLastSave="{00000000-0000-0000-0000-000000000000}"/>
  <bookViews>
    <workbookView xWindow="0" yWindow="0" windowWidth="28800" windowHeight="18000" tabRatio="664" activeTab="2" xr2:uid="{00000000-000D-0000-FFFF-FFFF00000000}"/>
  </bookViews>
  <sheets>
    <sheet name="Cancer Model Linear" sheetId="11" r:id="rId1"/>
    <sheet name="Sigmoid" sheetId="12" r:id="rId2"/>
    <sheet name="Cancer model sigmoid" sheetId="13" r:id="rId3"/>
    <sheet name="Parameter Search" sheetId="14" r:id="rId4"/>
    <sheet name="Log cost function" sheetId="15" r:id="rId5"/>
    <sheet name="Log cost parameter search" sheetId="16" r:id="rId6"/>
    <sheet name="Model Quality" sheetId="17" r:id="rId7"/>
    <sheet name="Harmonic Mean" sheetId="18" r:id="rId8"/>
  </sheets>
  <functionGroups builtInGroupCount="19"/>
  <definedNames>
    <definedName name="solver_adj" localSheetId="5" hidden="1">'Log cost parameter search'!$H$2:$I$2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0</definedName>
    <definedName name="solver_nwt" localSheetId="5" hidden="1">1</definedName>
    <definedName name="solver_opt" localSheetId="5" hidden="1">'Log cost parameter search'!$I$19</definedName>
    <definedName name="solver_pre" localSheetId="5" hidden="1">0.000001</definedName>
    <definedName name="solver_rbv" localSheetId="5" hidden="1">1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0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14" l="1"/>
  <c r="I2" i="14"/>
  <c r="E5" i="18"/>
  <c r="E6" i="18"/>
  <c r="E4" i="18"/>
  <c r="E8" i="18" s="1"/>
  <c r="E10" i="18" s="1"/>
  <c r="D8" i="18"/>
  <c r="D9" i="18" s="1"/>
  <c r="E41" i="17" l="1"/>
  <c r="D41" i="17"/>
  <c r="G39" i="17"/>
  <c r="L41" i="17" s="1"/>
  <c r="G38" i="17"/>
  <c r="L33" i="17"/>
  <c r="G19" i="17"/>
  <c r="L31" i="17" s="1"/>
  <c r="G18" i="17"/>
  <c r="E21" i="17"/>
  <c r="D21" i="17"/>
  <c r="M17" i="13"/>
  <c r="G21" i="17" l="1"/>
  <c r="L30" i="17" s="1"/>
  <c r="L29" i="17"/>
  <c r="L32" i="17"/>
  <c r="G41" i="17"/>
  <c r="I2" i="13"/>
  <c r="H2" i="13"/>
  <c r="L2" i="15" l="1"/>
  <c r="K2" i="15"/>
  <c r="F5" i="13"/>
  <c r="F6" i="13"/>
  <c r="F7" i="13"/>
  <c r="F8" i="13"/>
  <c r="F9" i="13"/>
  <c r="F10" i="13"/>
  <c r="F11" i="13"/>
  <c r="F12" i="13"/>
  <c r="F13" i="13"/>
  <c r="F14" i="13"/>
  <c r="F15" i="13"/>
  <c r="F16" i="13"/>
  <c r="F4" i="13"/>
  <c r="F28" i="13"/>
  <c r="F6" i="16" l="1"/>
  <c r="F7" i="16"/>
  <c r="F8" i="16"/>
  <c r="F9" i="16"/>
  <c r="F10" i="16"/>
  <c r="F11" i="16"/>
  <c r="F12" i="16"/>
  <c r="F13" i="16"/>
  <c r="F14" i="16"/>
  <c r="F15" i="16"/>
  <c r="F16" i="16"/>
  <c r="F17" i="16"/>
  <c r="F5" i="16"/>
  <c r="N22" i="16"/>
  <c r="O22" i="16" s="1"/>
  <c r="P22" i="16" s="1"/>
  <c r="Q22" i="16" s="1"/>
  <c r="R22" i="16" s="1"/>
  <c r="S22" i="16" s="1"/>
  <c r="T22" i="16" s="1"/>
  <c r="U22" i="16" s="1"/>
  <c r="V22" i="16" s="1"/>
  <c r="W22" i="16" s="1"/>
  <c r="X22" i="16" s="1"/>
  <c r="Y22" i="16" s="1"/>
  <c r="Z22" i="16" s="1"/>
  <c r="AA22" i="16" s="1"/>
  <c r="AB22" i="16" s="1"/>
  <c r="AC22" i="16" s="1"/>
  <c r="AD22" i="16" s="1"/>
  <c r="AE22" i="16" s="1"/>
  <c r="AF22" i="16" s="1"/>
  <c r="AG22" i="16" s="1"/>
  <c r="AH22" i="16" s="1"/>
  <c r="AI22" i="16" s="1"/>
  <c r="AJ22" i="16" s="1"/>
  <c r="AK22" i="16" s="1"/>
  <c r="AL22" i="16" s="1"/>
  <c r="AM22" i="16" s="1"/>
  <c r="AN22" i="16" s="1"/>
  <c r="L24" i="16"/>
  <c r="L25" i="16" s="1"/>
  <c r="L26" i="16" s="1"/>
  <c r="L27" i="16" s="1"/>
  <c r="L28" i="16" s="1"/>
  <c r="L29" i="16" s="1"/>
  <c r="L30" i="16" s="1"/>
  <c r="L31" i="16" s="1"/>
  <c r="L32" i="16" s="1"/>
  <c r="L33" i="16" s="1"/>
  <c r="L34" i="16" s="1"/>
  <c r="L35" i="16" s="1"/>
  <c r="L36" i="16" s="1"/>
  <c r="L37" i="16" s="1"/>
  <c r="L38" i="16" s="1"/>
  <c r="L39" i="16" s="1"/>
  <c r="L40" i="16" s="1"/>
  <c r="L41" i="16" s="1"/>
  <c r="L42" i="16" s="1"/>
  <c r="L43" i="16" s="1"/>
  <c r="L44" i="16" s="1"/>
  <c r="L45" i="16" s="1"/>
  <c r="L46" i="16" s="1"/>
  <c r="L47" i="16" s="1"/>
  <c r="L48" i="16" s="1"/>
  <c r="L49" i="16" s="1"/>
  <c r="L50" i="16" s="1"/>
  <c r="L51" i="16" s="1"/>
  <c r="L52" i="16" s="1"/>
  <c r="L53" i="16" s="1"/>
  <c r="B30" i="16"/>
  <c r="B31" i="16" s="1"/>
  <c r="B32" i="16" s="1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C32" i="16"/>
  <c r="C29" i="16"/>
  <c r="C30" i="16"/>
  <c r="C31" i="16"/>
  <c r="G9" i="16" l="1"/>
  <c r="I9" i="16" s="1"/>
  <c r="H9" i="16"/>
  <c r="H11" i="16"/>
  <c r="I11" i="16" s="1"/>
  <c r="G11" i="16"/>
  <c r="G5" i="16"/>
  <c r="H5" i="16"/>
  <c r="I5" i="16" s="1"/>
  <c r="G16" i="16"/>
  <c r="I16" i="16" s="1"/>
  <c r="H16" i="16"/>
  <c r="G17" i="16"/>
  <c r="I17" i="16" s="1"/>
  <c r="H17" i="16"/>
  <c r="G10" i="16"/>
  <c r="H10" i="16"/>
  <c r="H8" i="16"/>
  <c r="I8" i="16" s="1"/>
  <c r="G8" i="16"/>
  <c r="G15" i="16"/>
  <c r="I15" i="16" s="1"/>
  <c r="H15" i="16"/>
  <c r="G7" i="16"/>
  <c r="H7" i="16"/>
  <c r="I7" i="16" s="1"/>
  <c r="G14" i="16"/>
  <c r="I14" i="16" s="1"/>
  <c r="H14" i="16"/>
  <c r="G6" i="16"/>
  <c r="H6" i="16"/>
  <c r="I6" i="16" s="1"/>
  <c r="G13" i="16"/>
  <c r="I13" i="16" s="1"/>
  <c r="H13" i="16"/>
  <c r="G12" i="16"/>
  <c r="I12" i="16" s="1"/>
  <c r="H12" i="16"/>
  <c r="I10" i="16"/>
  <c r="B33" i="16"/>
  <c r="B29" i="15"/>
  <c r="B30" i="15" s="1"/>
  <c r="B31" i="15" s="1"/>
  <c r="D16" i="15"/>
  <c r="D15" i="15"/>
  <c r="D14" i="15"/>
  <c r="D13" i="15"/>
  <c r="D12" i="15"/>
  <c r="D11" i="15"/>
  <c r="D10" i="15"/>
  <c r="D9" i="15"/>
  <c r="D8" i="15"/>
  <c r="D7" i="15"/>
  <c r="D6" i="15"/>
  <c r="D5" i="15"/>
  <c r="D4" i="15"/>
  <c r="D30" i="16"/>
  <c r="C28" i="15"/>
  <c r="F7" i="15"/>
  <c r="F10" i="15"/>
  <c r="D31" i="16"/>
  <c r="F15" i="15"/>
  <c r="F5" i="15"/>
  <c r="C29" i="15"/>
  <c r="F11" i="15"/>
  <c r="D32" i="16"/>
  <c r="C33" i="16"/>
  <c r="C31" i="15"/>
  <c r="D29" i="16"/>
  <c r="F16" i="15"/>
  <c r="C30" i="15"/>
  <c r="F13" i="15"/>
  <c r="D33" i="16"/>
  <c r="F8" i="15"/>
  <c r="G10" i="15" l="1"/>
  <c r="H10" i="15"/>
  <c r="I10" i="15" s="1"/>
  <c r="G15" i="15"/>
  <c r="I15" i="15" s="1"/>
  <c r="H15" i="15"/>
  <c r="G13" i="15"/>
  <c r="I13" i="15" s="1"/>
  <c r="H13" i="15"/>
  <c r="G11" i="15"/>
  <c r="I11" i="15" s="1"/>
  <c r="H11" i="15"/>
  <c r="G5" i="15"/>
  <c r="H5" i="15"/>
  <c r="I5" i="15" s="1"/>
  <c r="G16" i="15"/>
  <c r="I16" i="15" s="1"/>
  <c r="H16" i="15"/>
  <c r="G7" i="15"/>
  <c r="H7" i="15"/>
  <c r="I7" i="15" s="1"/>
  <c r="G8" i="15"/>
  <c r="I8" i="15" s="1"/>
  <c r="H8" i="15"/>
  <c r="B34" i="16"/>
  <c r="B32" i="15"/>
  <c r="B29" i="14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O28" i="14"/>
  <c r="O29" i="14" s="1"/>
  <c r="O30" i="14" s="1"/>
  <c r="O31" i="14" s="1"/>
  <c r="O32" i="14" s="1"/>
  <c r="O33" i="14" s="1"/>
  <c r="O34" i="14" s="1"/>
  <c r="O35" i="14" s="1"/>
  <c r="O36" i="14" s="1"/>
  <c r="O37" i="14" s="1"/>
  <c r="O38" i="14" s="1"/>
  <c r="O39" i="14" s="1"/>
  <c r="O40" i="14" s="1"/>
  <c r="O41" i="14" s="1"/>
  <c r="O42" i="14" s="1"/>
  <c r="O43" i="14" s="1"/>
  <c r="O44" i="14" s="1"/>
  <c r="O45" i="14" s="1"/>
  <c r="O46" i="14" s="1"/>
  <c r="O47" i="14" s="1"/>
  <c r="O48" i="14" s="1"/>
  <c r="O49" i="14" s="1"/>
  <c r="O50" i="14" s="1"/>
  <c r="O51" i="14" s="1"/>
  <c r="O52" i="14" s="1"/>
  <c r="O53" i="14" s="1"/>
  <c r="O54" i="14" s="1"/>
  <c r="O55" i="14" s="1"/>
  <c r="O56" i="14" s="1"/>
  <c r="O57" i="14" s="1"/>
  <c r="Q26" i="14"/>
  <c r="R26" i="14" s="1"/>
  <c r="S26" i="14" s="1"/>
  <c r="T26" i="14" s="1"/>
  <c r="U26" i="14" s="1"/>
  <c r="V26" i="14" s="1"/>
  <c r="W26" i="14" s="1"/>
  <c r="X26" i="14" s="1"/>
  <c r="Y26" i="14" s="1"/>
  <c r="Z26" i="14" s="1"/>
  <c r="AA26" i="14" s="1"/>
  <c r="AB26" i="14" s="1"/>
  <c r="AC26" i="14" s="1"/>
  <c r="AD26" i="14" s="1"/>
  <c r="AE26" i="14" s="1"/>
  <c r="AF26" i="14" s="1"/>
  <c r="AG26" i="14" s="1"/>
  <c r="AH26" i="14" s="1"/>
  <c r="AI26" i="14" s="1"/>
  <c r="AJ26" i="14" s="1"/>
  <c r="AK26" i="14" s="1"/>
  <c r="AL26" i="14" s="1"/>
  <c r="AM26" i="14" s="1"/>
  <c r="AN26" i="14" s="1"/>
  <c r="AO26" i="14" s="1"/>
  <c r="AP26" i="14" s="1"/>
  <c r="AQ26" i="14" s="1"/>
  <c r="D16" i="14"/>
  <c r="D15" i="14"/>
  <c r="D14" i="14"/>
  <c r="D13" i="14"/>
  <c r="D12" i="14"/>
  <c r="D11" i="14"/>
  <c r="D10" i="14"/>
  <c r="D9" i="14"/>
  <c r="D8" i="14"/>
  <c r="D7" i="14"/>
  <c r="D6" i="14"/>
  <c r="D5" i="14"/>
  <c r="D4" i="14"/>
  <c r="B29" i="13"/>
  <c r="D16" i="13"/>
  <c r="M16" i="13" s="1"/>
  <c r="D15" i="13"/>
  <c r="M15" i="13" s="1"/>
  <c r="D14" i="13"/>
  <c r="M14" i="13" s="1"/>
  <c r="D13" i="13"/>
  <c r="M13" i="13" s="1"/>
  <c r="D12" i="13"/>
  <c r="M12" i="13" s="1"/>
  <c r="D11" i="13"/>
  <c r="M11" i="13" s="1"/>
  <c r="D10" i="13"/>
  <c r="M10" i="13" s="1"/>
  <c r="D9" i="13"/>
  <c r="M9" i="13" s="1"/>
  <c r="D8" i="13"/>
  <c r="M8" i="13" s="1"/>
  <c r="D7" i="13"/>
  <c r="M7" i="13" s="1"/>
  <c r="D6" i="13"/>
  <c r="M6" i="13" s="1"/>
  <c r="D5" i="13"/>
  <c r="M5" i="13" s="1"/>
  <c r="D4" i="13"/>
  <c r="M4" i="13" s="1"/>
  <c r="B8" i="12"/>
  <c r="B9" i="12" s="1"/>
  <c r="G7" i="12"/>
  <c r="F7" i="12"/>
  <c r="D29" i="15"/>
  <c r="C49" i="14"/>
  <c r="D30" i="15"/>
  <c r="C56" i="14"/>
  <c r="C8" i="12"/>
  <c r="C30" i="13"/>
  <c r="C32" i="14"/>
  <c r="C50" i="14"/>
  <c r="C31" i="14"/>
  <c r="C63" i="14"/>
  <c r="C34" i="16"/>
  <c r="C60" i="14"/>
  <c r="C41" i="14"/>
  <c r="C28" i="13"/>
  <c r="C73" i="14"/>
  <c r="C29" i="13"/>
  <c r="C62" i="14"/>
  <c r="C57" i="14"/>
  <c r="C45" i="14"/>
  <c r="C35" i="14"/>
  <c r="C64" i="14"/>
  <c r="F12" i="15"/>
  <c r="C55" i="14"/>
  <c r="C74" i="14"/>
  <c r="F9" i="15"/>
  <c r="C28" i="14"/>
  <c r="C71" i="14"/>
  <c r="C47" i="14"/>
  <c r="F4" i="15"/>
  <c r="C68" i="14"/>
  <c r="F14" i="15"/>
  <c r="C72" i="14"/>
  <c r="C31" i="13"/>
  <c r="C51" i="14"/>
  <c r="C38" i="14"/>
  <c r="C59" i="14"/>
  <c r="C29" i="14"/>
  <c r="F6" i="15"/>
  <c r="C58" i="14"/>
  <c r="D31" i="15"/>
  <c r="C42" i="14"/>
  <c r="C36" i="14"/>
  <c r="C69" i="14"/>
  <c r="C37" i="14"/>
  <c r="C78" i="14"/>
  <c r="C53" i="14"/>
  <c r="C44" i="14"/>
  <c r="C46" i="14"/>
  <c r="C48" i="14"/>
  <c r="C67" i="14"/>
  <c r="D7" i="12"/>
  <c r="C70" i="14"/>
  <c r="C43" i="14"/>
  <c r="D28" i="15"/>
  <c r="C52" i="14"/>
  <c r="C76" i="14"/>
  <c r="C34" i="14"/>
  <c r="C54" i="14"/>
  <c r="C33" i="14"/>
  <c r="C32" i="15"/>
  <c r="C7" i="12"/>
  <c r="C75" i="14"/>
  <c r="C40" i="14"/>
  <c r="C77" i="14"/>
  <c r="C66" i="14"/>
  <c r="C39" i="14"/>
  <c r="C9" i="12"/>
  <c r="C65" i="14"/>
  <c r="C61" i="14"/>
  <c r="C30" i="14"/>
  <c r="B30" i="13" l="1"/>
  <c r="F29" i="13"/>
  <c r="G14" i="15"/>
  <c r="I14" i="15" s="1"/>
  <c r="H14" i="15"/>
  <c r="H4" i="15"/>
  <c r="I4" i="15" s="1"/>
  <c r="G4" i="15"/>
  <c r="H9" i="15"/>
  <c r="G9" i="15"/>
  <c r="I9" i="15" s="1"/>
  <c r="G12" i="15"/>
  <c r="I12" i="15" s="1"/>
  <c r="H12" i="15"/>
  <c r="G6" i="15"/>
  <c r="H6" i="15"/>
  <c r="I6" i="15" s="1"/>
  <c r="I19" i="16"/>
  <c r="B35" i="16"/>
  <c r="B33" i="15"/>
  <c r="G5" i="13"/>
  <c r="G9" i="13"/>
  <c r="G10" i="13"/>
  <c r="G13" i="13"/>
  <c r="G6" i="13"/>
  <c r="G11" i="13"/>
  <c r="G4" i="13"/>
  <c r="G12" i="13"/>
  <c r="G7" i="13"/>
  <c r="G8" i="13"/>
  <c r="G16" i="13"/>
  <c r="B10" i="12"/>
  <c r="D13" i="11"/>
  <c r="D14" i="11"/>
  <c r="D15" i="11"/>
  <c r="D16" i="11"/>
  <c r="D5" i="11"/>
  <c r="D6" i="11"/>
  <c r="D7" i="11"/>
  <c r="D8" i="11"/>
  <c r="D9" i="11"/>
  <c r="D10" i="11"/>
  <c r="D11" i="11"/>
  <c r="D12" i="11"/>
  <c r="D4" i="11"/>
  <c r="D30" i="14"/>
  <c r="D45" i="14"/>
  <c r="D32" i="14"/>
  <c r="D42" i="14"/>
  <c r="C35" i="16"/>
  <c r="D29" i="14"/>
  <c r="D33" i="14"/>
  <c r="D39" i="14"/>
  <c r="D63" i="14"/>
  <c r="C33" i="15"/>
  <c r="F11" i="14"/>
  <c r="F13" i="14"/>
  <c r="D77" i="14"/>
  <c r="F14" i="14"/>
  <c r="D78" i="14"/>
  <c r="D29" i="13"/>
  <c r="D50" i="14"/>
  <c r="D41" i="14"/>
  <c r="D73" i="14"/>
  <c r="D43" i="14"/>
  <c r="F9" i="14"/>
  <c r="D35" i="14"/>
  <c r="F4" i="14"/>
  <c r="D70" i="14"/>
  <c r="D34" i="16"/>
  <c r="D56" i="14"/>
  <c r="D47" i="14"/>
  <c r="D57" i="14"/>
  <c r="F7" i="14"/>
  <c r="D69" i="14"/>
  <c r="F8" i="14"/>
  <c r="D31" i="14"/>
  <c r="D30" i="13"/>
  <c r="D8" i="12"/>
  <c r="F16" i="14"/>
  <c r="D59" i="14"/>
  <c r="D60" i="14"/>
  <c r="D58" i="14"/>
  <c r="C10" i="12"/>
  <c r="D71" i="14"/>
  <c r="D67" i="14"/>
  <c r="D74" i="14"/>
  <c r="D64" i="14"/>
  <c r="D9" i="12"/>
  <c r="D44" i="14"/>
  <c r="D62" i="14"/>
  <c r="F6" i="14"/>
  <c r="D36" i="14"/>
  <c r="D28" i="14"/>
  <c r="F10" i="14"/>
  <c r="D32" i="15"/>
  <c r="D49" i="14"/>
  <c r="D75" i="14"/>
  <c r="D46" i="14"/>
  <c r="D72" i="14"/>
  <c r="D53" i="14"/>
  <c r="D61" i="14"/>
  <c r="D28" i="13"/>
  <c r="D48" i="14"/>
  <c r="D66" i="14"/>
  <c r="D54" i="14"/>
  <c r="D76" i="14"/>
  <c r="D51" i="14"/>
  <c r="D52" i="14"/>
  <c r="F5" i="14"/>
  <c r="D34" i="14"/>
  <c r="F15" i="14"/>
  <c r="D38" i="14"/>
  <c r="D37" i="14"/>
  <c r="D40" i="14"/>
  <c r="D55" i="14"/>
  <c r="D65" i="14"/>
  <c r="F12" i="14"/>
  <c r="D68" i="14"/>
  <c r="C32" i="13"/>
  <c r="B31" i="13" l="1"/>
  <c r="F30" i="13"/>
  <c r="L22" i="16"/>
  <c r="I21" i="16"/>
  <c r="B36" i="16"/>
  <c r="I18" i="15"/>
  <c r="B34" i="15"/>
  <c r="G15" i="14"/>
  <c r="G13" i="14"/>
  <c r="G11" i="14"/>
  <c r="G7" i="14"/>
  <c r="G5" i="14"/>
  <c r="G12" i="14"/>
  <c r="G9" i="14"/>
  <c r="G4" i="14"/>
  <c r="G14" i="14"/>
  <c r="G16" i="14"/>
  <c r="G10" i="14"/>
  <c r="G6" i="14"/>
  <c r="G8" i="14"/>
  <c r="G15" i="13"/>
  <c r="G14" i="13"/>
  <c r="B11" i="12"/>
  <c r="C34" i="15"/>
  <c r="C33" i="13"/>
  <c r="D10" i="12"/>
  <c r="C36" i="16"/>
  <c r="D35" i="16"/>
  <c r="C11" i="12"/>
  <c r="D33" i="15"/>
  <c r="F31" i="13" l="1"/>
  <c r="B32" i="13"/>
  <c r="B37" i="16"/>
  <c r="B35" i="15"/>
  <c r="G18" i="14"/>
  <c r="O26" i="14" s="1"/>
  <c r="G18" i="13"/>
  <c r="B12" i="12"/>
  <c r="D36" i="16"/>
  <c r="C34" i="13"/>
  <c r="C37" i="16"/>
  <c r="D11" i="12"/>
  <c r="D34" i="15"/>
  <c r="C12" i="12"/>
  <c r="D31" i="13"/>
  <c r="C35" i="15"/>
  <c r="F32" i="13" l="1"/>
  <c r="B33" i="13"/>
  <c r="B38" i="16"/>
  <c r="B36" i="15"/>
  <c r="B13" i="12"/>
  <c r="D32" i="13"/>
  <c r="D12" i="12"/>
  <c r="D35" i="15"/>
  <c r="D37" i="16"/>
  <c r="C35" i="13"/>
  <c r="C13" i="12"/>
  <c r="C38" i="16"/>
  <c r="C36" i="15"/>
  <c r="F33" i="13" l="1"/>
  <c r="B34" i="13"/>
  <c r="B39" i="16"/>
  <c r="B37" i="15"/>
  <c r="B14" i="12"/>
  <c r="C39" i="16"/>
  <c r="C37" i="15"/>
  <c r="D13" i="12"/>
  <c r="D36" i="15"/>
  <c r="C14" i="12"/>
  <c r="D38" i="16"/>
  <c r="C36" i="13"/>
  <c r="D33" i="13"/>
  <c r="F34" i="13" l="1"/>
  <c r="B35" i="13"/>
  <c r="B40" i="16"/>
  <c r="B38" i="15"/>
  <c r="B15" i="12"/>
  <c r="D34" i="13"/>
  <c r="C40" i="16"/>
  <c r="D14" i="12"/>
  <c r="D37" i="15"/>
  <c r="C38" i="15"/>
  <c r="C37" i="13"/>
  <c r="D39" i="16"/>
  <c r="C15" i="12"/>
  <c r="F35" i="13" l="1"/>
  <c r="B36" i="13"/>
  <c r="B41" i="16"/>
  <c r="B39" i="15"/>
  <c r="B16" i="12"/>
  <c r="C39" i="15"/>
  <c r="C41" i="16"/>
  <c r="D38" i="15"/>
  <c r="D35" i="13"/>
  <c r="D40" i="16"/>
  <c r="C16" i="12"/>
  <c r="C38" i="13"/>
  <c r="D15" i="12"/>
  <c r="F36" i="13" l="1"/>
  <c r="B37" i="13"/>
  <c r="B42" i="16"/>
  <c r="B40" i="15"/>
  <c r="B17" i="12"/>
  <c r="D36" i="13"/>
  <c r="D16" i="12"/>
  <c r="C42" i="16"/>
  <c r="D41" i="16"/>
  <c r="C40" i="15"/>
  <c r="C39" i="13"/>
  <c r="C17" i="12"/>
  <c r="D39" i="15"/>
  <c r="F37" i="13" l="1"/>
  <c r="B38" i="13"/>
  <c r="B43" i="16"/>
  <c r="B41" i="15"/>
  <c r="B18" i="12"/>
  <c r="C18" i="12"/>
  <c r="C43" i="16"/>
  <c r="C40" i="13"/>
  <c r="D40" i="15"/>
  <c r="D17" i="12"/>
  <c r="C41" i="15"/>
  <c r="D37" i="13"/>
  <c r="D42" i="16"/>
  <c r="F38" i="13" l="1"/>
  <c r="B39" i="13"/>
  <c r="B44" i="16"/>
  <c r="B42" i="15"/>
  <c r="B19" i="12"/>
  <c r="D38" i="13"/>
  <c r="C19" i="12"/>
  <c r="D18" i="12"/>
  <c r="C44" i="16"/>
  <c r="C42" i="15"/>
  <c r="C41" i="13"/>
  <c r="D43" i="16"/>
  <c r="D41" i="15"/>
  <c r="F39" i="13" l="1"/>
  <c r="B40" i="13"/>
  <c r="B45" i="16"/>
  <c r="B43" i="15"/>
  <c r="B20" i="12"/>
  <c r="C20" i="12"/>
  <c r="C42" i="13"/>
  <c r="C43" i="15"/>
  <c r="D19" i="12"/>
  <c r="D44" i="16"/>
  <c r="C45" i="16"/>
  <c r="D39" i="13"/>
  <c r="D42" i="15"/>
  <c r="F40" i="13" l="1"/>
  <c r="B41" i="13"/>
  <c r="B46" i="16"/>
  <c r="B44" i="15"/>
  <c r="B21" i="12"/>
  <c r="C21" i="12"/>
  <c r="C44" i="15"/>
  <c r="D45" i="16"/>
  <c r="D40" i="13"/>
  <c r="C43" i="13"/>
  <c r="C46" i="16"/>
  <c r="D43" i="15"/>
  <c r="D20" i="12"/>
  <c r="F41" i="13" l="1"/>
  <c r="B42" i="13"/>
  <c r="B47" i="16"/>
  <c r="B45" i="15"/>
  <c r="B22" i="12"/>
  <c r="C22" i="12"/>
  <c r="C45" i="15"/>
  <c r="D21" i="12"/>
  <c r="D46" i="16"/>
  <c r="C47" i="16"/>
  <c r="C44" i="13"/>
  <c r="D44" i="15"/>
  <c r="D41" i="13"/>
  <c r="F42" i="13" l="1"/>
  <c r="B43" i="13"/>
  <c r="B48" i="16"/>
  <c r="B46" i="15"/>
  <c r="B23" i="12"/>
  <c r="D45" i="15"/>
  <c r="C48" i="16"/>
  <c r="D42" i="13"/>
  <c r="C46" i="15"/>
  <c r="D47" i="16"/>
  <c r="C23" i="12"/>
  <c r="C45" i="13"/>
  <c r="D22" i="12"/>
  <c r="F43" i="13" l="1"/>
  <c r="B44" i="13"/>
  <c r="B49" i="16"/>
  <c r="B47" i="15"/>
  <c r="B24" i="12"/>
  <c r="D46" i="15"/>
  <c r="C46" i="13"/>
  <c r="C49" i="16"/>
  <c r="D43" i="13"/>
  <c r="C24" i="12"/>
  <c r="D23" i="12"/>
  <c r="C47" i="15"/>
  <c r="D48" i="16"/>
  <c r="F44" i="13" l="1"/>
  <c r="B45" i="13"/>
  <c r="B50" i="16"/>
  <c r="B48" i="15"/>
  <c r="B25" i="12"/>
  <c r="C25" i="12"/>
  <c r="C48" i="15"/>
  <c r="D47" i="15"/>
  <c r="D44" i="13"/>
  <c r="C47" i="13"/>
  <c r="D49" i="16"/>
  <c r="D24" i="12"/>
  <c r="C50" i="16"/>
  <c r="F45" i="13" l="1"/>
  <c r="B46" i="13"/>
  <c r="B51" i="16"/>
  <c r="B49" i="15"/>
  <c r="B26" i="12"/>
  <c r="C49" i="15"/>
  <c r="D50" i="16"/>
  <c r="C26" i="12"/>
  <c r="C48" i="13"/>
  <c r="D25" i="12"/>
  <c r="D45" i="13"/>
  <c r="C51" i="16"/>
  <c r="D48" i="15"/>
  <c r="F46" i="13" l="1"/>
  <c r="B47" i="13"/>
  <c r="B52" i="16"/>
  <c r="B50" i="15"/>
  <c r="B27" i="12"/>
  <c r="D51" i="16"/>
  <c r="D46" i="13"/>
  <c r="D49" i="15"/>
  <c r="C52" i="16"/>
  <c r="C49" i="13"/>
  <c r="C50" i="15"/>
  <c r="D26" i="12"/>
  <c r="C27" i="12"/>
  <c r="F47" i="13" l="1"/>
  <c r="B48" i="13"/>
  <c r="B53" i="16"/>
  <c r="B51" i="15"/>
  <c r="B28" i="12"/>
  <c r="C28" i="12"/>
  <c r="C51" i="15"/>
  <c r="D52" i="16"/>
  <c r="C50" i="13"/>
  <c r="D50" i="15"/>
  <c r="D27" i="12"/>
  <c r="D47" i="13"/>
  <c r="C53" i="16"/>
  <c r="F48" i="13" l="1"/>
  <c r="B49" i="13"/>
  <c r="B54" i="16"/>
  <c r="B52" i="15"/>
  <c r="B29" i="12"/>
  <c r="D53" i="16"/>
  <c r="C52" i="15"/>
  <c r="D48" i="13"/>
  <c r="D51" i="15"/>
  <c r="C29" i="12"/>
  <c r="C54" i="16"/>
  <c r="D28" i="12"/>
  <c r="C51" i="13"/>
  <c r="F49" i="13" l="1"/>
  <c r="B50" i="13"/>
  <c r="B55" i="16"/>
  <c r="B53" i="15"/>
  <c r="B30" i="12"/>
  <c r="D52" i="15"/>
  <c r="C55" i="16"/>
  <c r="D49" i="13"/>
  <c r="D29" i="12"/>
  <c r="C52" i="13"/>
  <c r="D54" i="16"/>
  <c r="C30" i="12"/>
  <c r="C53" i="15"/>
  <c r="F50" i="13" l="1"/>
  <c r="B51" i="13"/>
  <c r="B56" i="16"/>
  <c r="B54" i="15"/>
  <c r="B31" i="12"/>
  <c r="C53" i="13"/>
  <c r="D50" i="13"/>
  <c r="D53" i="15"/>
  <c r="D30" i="12"/>
  <c r="C56" i="16"/>
  <c r="C54" i="15"/>
  <c r="C31" i="12"/>
  <c r="D55" i="16"/>
  <c r="F51" i="13" l="1"/>
  <c r="B52" i="13"/>
  <c r="B57" i="16"/>
  <c r="B55" i="15"/>
  <c r="B32" i="12"/>
  <c r="D51" i="13"/>
  <c r="D56" i="16"/>
  <c r="C55" i="15"/>
  <c r="D31" i="12"/>
  <c r="C54" i="13"/>
  <c r="D54" i="15"/>
  <c r="C32" i="12"/>
  <c r="C57" i="16"/>
  <c r="F52" i="13" l="1"/>
  <c r="B53" i="13"/>
  <c r="B58" i="16"/>
  <c r="B56" i="15"/>
  <c r="B33" i="12"/>
  <c r="D32" i="12"/>
  <c r="C55" i="13"/>
  <c r="D52" i="13"/>
  <c r="D55" i="15"/>
  <c r="D57" i="16"/>
  <c r="C56" i="15"/>
  <c r="C33" i="12"/>
  <c r="C58" i="16"/>
  <c r="F53" i="13" l="1"/>
  <c r="B54" i="13"/>
  <c r="B59" i="16"/>
  <c r="B57" i="15"/>
  <c r="B34" i="12"/>
  <c r="D56" i="15"/>
  <c r="D58" i="16"/>
  <c r="C34" i="12"/>
  <c r="C56" i="13"/>
  <c r="D53" i="13"/>
  <c r="C57" i="15"/>
  <c r="D33" i="12"/>
  <c r="C59" i="16"/>
  <c r="F54" i="13" l="1"/>
  <c r="B55" i="13"/>
  <c r="B60" i="16"/>
  <c r="B58" i="15"/>
  <c r="B35" i="12"/>
  <c r="D57" i="15"/>
  <c r="D54" i="13"/>
  <c r="C57" i="13"/>
  <c r="D34" i="12"/>
  <c r="D59" i="16"/>
  <c r="C58" i="15"/>
  <c r="C35" i="12"/>
  <c r="C60" i="16"/>
  <c r="F55" i="13" l="1"/>
  <c r="B56" i="13"/>
  <c r="B61" i="16"/>
  <c r="B59" i="15"/>
  <c r="B36" i="12"/>
  <c r="D60" i="16"/>
  <c r="D55" i="13"/>
  <c r="C59" i="15"/>
  <c r="C61" i="16"/>
  <c r="C36" i="12"/>
  <c r="D58" i="15"/>
  <c r="D35" i="12"/>
  <c r="C58" i="13"/>
  <c r="F56" i="13" l="1"/>
  <c r="B57" i="13"/>
  <c r="B62" i="16"/>
  <c r="B60" i="15"/>
  <c r="B37" i="12"/>
  <c r="D36" i="12"/>
  <c r="C60" i="15"/>
  <c r="C37" i="12"/>
  <c r="C59" i="13"/>
  <c r="D59" i="15"/>
  <c r="D56" i="13"/>
  <c r="C62" i="16"/>
  <c r="D61" i="16"/>
  <c r="F57" i="13" l="1"/>
  <c r="B58" i="13"/>
  <c r="B63" i="16"/>
  <c r="B61" i="15"/>
  <c r="B38" i="12"/>
  <c r="D37" i="12"/>
  <c r="C61" i="15"/>
  <c r="D62" i="16"/>
  <c r="C60" i="13"/>
  <c r="D60" i="15"/>
  <c r="D57" i="13"/>
  <c r="C38" i="12"/>
  <c r="C63" i="16"/>
  <c r="F58" i="13" l="1"/>
  <c r="B59" i="13"/>
  <c r="B64" i="16"/>
  <c r="B62" i="15"/>
  <c r="B39" i="12"/>
  <c r="D38" i="12"/>
  <c r="D61" i="15"/>
  <c r="D58" i="13"/>
  <c r="D63" i="16"/>
  <c r="C62" i="15"/>
  <c r="C64" i="16"/>
  <c r="C61" i="13"/>
  <c r="C39" i="12"/>
  <c r="F59" i="13" l="1"/>
  <c r="B60" i="13"/>
  <c r="B65" i="16"/>
  <c r="B63" i="15"/>
  <c r="B40" i="12"/>
  <c r="D59" i="13"/>
  <c r="C62" i="13"/>
  <c r="C40" i="12"/>
  <c r="D64" i="16"/>
  <c r="D39" i="12"/>
  <c r="D62" i="15"/>
  <c r="C63" i="15"/>
  <c r="C65" i="16"/>
  <c r="F60" i="13" l="1"/>
  <c r="B61" i="13"/>
  <c r="B66" i="16"/>
  <c r="B64" i="15"/>
  <c r="B41" i="12"/>
  <c r="D65" i="16"/>
  <c r="C66" i="16"/>
  <c r="D60" i="13"/>
  <c r="C41" i="12"/>
  <c r="D40" i="12"/>
  <c r="C64" i="15"/>
  <c r="D63" i="15"/>
  <c r="C63" i="13"/>
  <c r="F61" i="13" l="1"/>
  <c r="B62" i="13"/>
  <c r="B67" i="16"/>
  <c r="B65" i="15"/>
  <c r="B42" i="12"/>
  <c r="C65" i="15"/>
  <c r="C67" i="16"/>
  <c r="D61" i="13"/>
  <c r="C64" i="13"/>
  <c r="C42" i="12"/>
  <c r="D66" i="16"/>
  <c r="D64" i="15"/>
  <c r="D41" i="12"/>
  <c r="F62" i="13" l="1"/>
  <c r="B63" i="13"/>
  <c r="B68" i="16"/>
  <c r="B66" i="15"/>
  <c r="B43" i="12"/>
  <c r="C43" i="12"/>
  <c r="D67" i="16"/>
  <c r="D62" i="13"/>
  <c r="C68" i="16"/>
  <c r="D65" i="15"/>
  <c r="C65" i="13"/>
  <c r="C66" i="15"/>
  <c r="D42" i="12"/>
  <c r="F63" i="13" l="1"/>
  <c r="B64" i="13"/>
  <c r="B69" i="16"/>
  <c r="B67" i="15"/>
  <c r="B44" i="12"/>
  <c r="C44" i="12"/>
  <c r="C67" i="15"/>
  <c r="D68" i="16"/>
  <c r="C66" i="13"/>
  <c r="C69" i="16"/>
  <c r="D66" i="15"/>
  <c r="D63" i="13"/>
  <c r="D43" i="12"/>
  <c r="F64" i="13" l="1"/>
  <c r="B65" i="13"/>
  <c r="B70" i="16"/>
  <c r="B68" i="15"/>
  <c r="B45" i="12"/>
  <c r="D67" i="15"/>
  <c r="D44" i="12"/>
  <c r="D69" i="16"/>
  <c r="D64" i="13"/>
  <c r="C70" i="16"/>
  <c r="C67" i="13"/>
  <c r="C45" i="12"/>
  <c r="C68" i="15"/>
  <c r="F65" i="13" l="1"/>
  <c r="B66" i="13"/>
  <c r="B71" i="16"/>
  <c r="B69" i="15"/>
  <c r="B46" i="12"/>
  <c r="D68" i="15"/>
  <c r="D70" i="16"/>
  <c r="C71" i="16"/>
  <c r="C69" i="15"/>
  <c r="C68" i="13"/>
  <c r="D45" i="12"/>
  <c r="D65" i="13"/>
  <c r="C46" i="12"/>
  <c r="F66" i="13" l="1"/>
  <c r="B67" i="13"/>
  <c r="B72" i="16"/>
  <c r="B70" i="15"/>
  <c r="B47" i="12"/>
  <c r="C47" i="12"/>
  <c r="C72" i="16"/>
  <c r="C70" i="15"/>
  <c r="D69" i="15"/>
  <c r="D46" i="12"/>
  <c r="C69" i="13"/>
  <c r="D71" i="16"/>
  <c r="D66" i="13"/>
  <c r="F67" i="13" l="1"/>
  <c r="B68" i="13"/>
  <c r="B73" i="16"/>
  <c r="B71" i="15"/>
  <c r="B48" i="12"/>
  <c r="D67" i="13"/>
  <c r="C71" i="15"/>
  <c r="D47" i="12"/>
  <c r="C70" i="13"/>
  <c r="C48" i="12"/>
  <c r="D70" i="15"/>
  <c r="C73" i="16"/>
  <c r="D72" i="16"/>
  <c r="F68" i="13" l="1"/>
  <c r="B69" i="13"/>
  <c r="B74" i="16"/>
  <c r="B72" i="15"/>
  <c r="B49" i="12"/>
  <c r="D48" i="12"/>
  <c r="C72" i="15"/>
  <c r="C49" i="12"/>
  <c r="C71" i="13"/>
  <c r="D73" i="16"/>
  <c r="D68" i="13"/>
  <c r="C74" i="16"/>
  <c r="D71" i="15"/>
  <c r="F69" i="13" l="1"/>
  <c r="B70" i="13"/>
  <c r="B75" i="16"/>
  <c r="B73" i="15"/>
  <c r="B50" i="12"/>
  <c r="D69" i="13"/>
  <c r="D72" i="15"/>
  <c r="D49" i="12"/>
  <c r="C50" i="12"/>
  <c r="C73" i="15"/>
  <c r="C75" i="16"/>
  <c r="C72" i="13"/>
  <c r="D74" i="16"/>
  <c r="F70" i="13" l="1"/>
  <c r="B71" i="13"/>
  <c r="B76" i="16"/>
  <c r="B74" i="15"/>
  <c r="B51" i="12"/>
  <c r="C74" i="15"/>
  <c r="C76" i="16"/>
  <c r="D75" i="16"/>
  <c r="D50" i="12"/>
  <c r="C73" i="13"/>
  <c r="C51" i="12"/>
  <c r="D70" i="13"/>
  <c r="D73" i="15"/>
  <c r="F71" i="13" l="1"/>
  <c r="B72" i="13"/>
  <c r="B77" i="16"/>
  <c r="B75" i="15"/>
  <c r="B52" i="12"/>
  <c r="C77" i="16"/>
  <c r="D74" i="15"/>
  <c r="C74" i="13"/>
  <c r="D71" i="13"/>
  <c r="D76" i="16"/>
  <c r="D51" i="12"/>
  <c r="C52" i="12"/>
  <c r="C75" i="15"/>
  <c r="F72" i="13" l="1"/>
  <c r="B73" i="13"/>
  <c r="B78" i="16"/>
  <c r="B76" i="15"/>
  <c r="B53" i="12"/>
  <c r="D77" i="16"/>
  <c r="C78" i="16"/>
  <c r="D75" i="15"/>
  <c r="C76" i="15"/>
  <c r="D72" i="13"/>
  <c r="C53" i="12"/>
  <c r="D52" i="12"/>
  <c r="C75" i="13"/>
  <c r="F73" i="13" l="1"/>
  <c r="B74" i="13"/>
  <c r="B79" i="16"/>
  <c r="B77" i="15"/>
  <c r="B54" i="12"/>
  <c r="C76" i="13"/>
  <c r="C54" i="12"/>
  <c r="D78" i="16"/>
  <c r="D73" i="13"/>
  <c r="C79" i="16"/>
  <c r="D53" i="12"/>
  <c r="D76" i="15"/>
  <c r="C77" i="15"/>
  <c r="F74" i="13" l="1"/>
  <c r="B75" i="13"/>
  <c r="B78" i="15"/>
  <c r="B55" i="12"/>
  <c r="D54" i="12"/>
  <c r="D77" i="15"/>
  <c r="D79" i="16"/>
  <c r="C77" i="13"/>
  <c r="D74" i="13"/>
  <c r="C55" i="12"/>
  <c r="C78" i="15"/>
  <c r="F75" i="13" l="1"/>
  <c r="B76" i="13"/>
  <c r="B56" i="12"/>
  <c r="D75" i="13"/>
  <c r="C56" i="12"/>
  <c r="C78" i="13"/>
  <c r="D78" i="15"/>
  <c r="D55" i="12"/>
  <c r="F76" i="13" l="1"/>
  <c r="B77" i="13"/>
  <c r="B57" i="12"/>
  <c r="B58" i="12" s="1"/>
  <c r="D58" i="12"/>
  <c r="C58" i="12"/>
  <c r="D57" i="12"/>
  <c r="D56" i="12"/>
  <c r="C57" i="12"/>
  <c r="D76" i="13"/>
  <c r="F77" i="13" l="1"/>
  <c r="B78" i="13"/>
  <c r="B59" i="12"/>
  <c r="D77" i="13"/>
  <c r="D59" i="12"/>
  <c r="C59" i="12"/>
  <c r="F78" i="13" l="1"/>
  <c r="B60" i="12"/>
  <c r="D78" i="13"/>
  <c r="C60" i="12"/>
  <c r="D60" i="12"/>
  <c r="B61" i="12" l="1"/>
  <c r="C61" i="12"/>
  <c r="D61" i="12"/>
  <c r="B62" i="12" l="1"/>
  <c r="C62" i="12"/>
  <c r="D62" i="12"/>
  <c r="B63" i="12" l="1"/>
  <c r="C63" i="12"/>
  <c r="D63" i="12"/>
  <c r="B64" i="12" l="1"/>
  <c r="C64" i="12"/>
  <c r="D64" i="12"/>
  <c r="B65" i="12" l="1"/>
  <c r="C65" i="12"/>
  <c r="D65" i="12"/>
  <c r="B66" i="12" l="1"/>
  <c r="C66" i="12"/>
  <c r="D66" i="12"/>
  <c r="B67" i="12" l="1"/>
  <c r="C67" i="12"/>
  <c r="D67" i="12"/>
  <c r="B68" i="12" l="1"/>
  <c r="C68" i="12"/>
  <c r="D68" i="12"/>
  <c r="B69" i="12" l="1"/>
  <c r="C69" i="12"/>
  <c r="D69" i="12"/>
  <c r="B70" i="12" l="1"/>
  <c r="C70" i="12"/>
  <c r="D70" i="12"/>
  <c r="B71" i="12" l="1"/>
  <c r="C71" i="12"/>
  <c r="D71" i="12"/>
  <c r="B72" i="12" l="1"/>
  <c r="C72" i="12"/>
  <c r="D72" i="12"/>
  <c r="B73" i="12" l="1"/>
  <c r="C73" i="12"/>
  <c r="D73" i="12"/>
  <c r="B74" i="12" l="1"/>
  <c r="C74" i="12"/>
  <c r="D74" i="12"/>
  <c r="B75" i="12" l="1"/>
  <c r="C75" i="12"/>
  <c r="D75" i="12"/>
  <c r="B76" i="12" l="1"/>
  <c r="C76" i="12"/>
  <c r="D76" i="12"/>
  <c r="B77" i="12" l="1"/>
  <c r="C77" i="12"/>
  <c r="D77" i="12"/>
  <c r="B78" i="12" l="1"/>
  <c r="C78" i="12"/>
  <c r="D78" i="12"/>
  <c r="B79" i="12" l="1"/>
  <c r="C79" i="12"/>
  <c r="D79" i="12"/>
  <c r="B80" i="12" l="1"/>
  <c r="C80" i="12"/>
  <c r="D80" i="12"/>
  <c r="B81" i="12" l="1"/>
  <c r="C81" i="12"/>
  <c r="D81" i="12"/>
  <c r="B82" i="12" l="1"/>
  <c r="C82" i="12"/>
  <c r="D82" i="12"/>
  <c r="B83" i="12" l="1"/>
  <c r="C83" i="12"/>
  <c r="D83" i="12"/>
  <c r="B84" i="12" l="1"/>
  <c r="C84" i="12"/>
  <c r="D84" i="12"/>
  <c r="B85" i="12" l="1"/>
  <c r="C85" i="12"/>
  <c r="D85" i="12"/>
  <c r="B86" i="12" l="1"/>
  <c r="C86" i="12"/>
  <c r="D86" i="12"/>
  <c r="B87" i="12" l="1"/>
  <c r="C87" i="12"/>
  <c r="D87" i="12"/>
  <c r="B88" i="12" l="1"/>
  <c r="C88" i="12"/>
  <c r="D88" i="12"/>
  <c r="B89" i="12" l="1"/>
  <c r="C89" i="12"/>
  <c r="D89" i="12"/>
  <c r="B90" i="12" l="1"/>
  <c r="C90" i="12"/>
  <c r="D90" i="12"/>
  <c r="B91" i="12" l="1"/>
  <c r="C91" i="12"/>
  <c r="D91" i="12"/>
  <c r="B92" i="12" l="1"/>
  <c r="C92" i="12"/>
  <c r="D92" i="12"/>
  <c r="B93" i="12" l="1"/>
  <c r="C93" i="12"/>
  <c r="D93" i="12"/>
  <c r="B94" i="12" l="1"/>
  <c r="C94" i="12"/>
  <c r="D94" i="12"/>
  <c r="B95" i="12" l="1"/>
  <c r="C95" i="12"/>
  <c r="D95" i="12"/>
  <c r="B96" i="12" l="1"/>
  <c r="C96" i="12"/>
  <c r="D96" i="12"/>
  <c r="B97" i="12" l="1"/>
  <c r="C97" i="12"/>
  <c r="D97" i="12"/>
  <c r="B98" i="12" l="1"/>
  <c r="C98" i="12"/>
  <c r="D98" i="12"/>
  <c r="B99" i="12" l="1"/>
  <c r="C99" i="12"/>
  <c r="D99" i="12"/>
  <c r="B100" i="12" l="1"/>
  <c r="C100" i="12"/>
  <c r="D100" i="12"/>
  <c r="B101" i="12" l="1"/>
  <c r="C101" i="12"/>
  <c r="D101" i="12"/>
  <c r="B102" i="12" l="1"/>
  <c r="C102" i="12"/>
  <c r="D102" i="12"/>
  <c r="B103" i="12" l="1"/>
  <c r="C103" i="12"/>
  <c r="D103" i="12"/>
  <c r="B104" i="12" l="1"/>
  <c r="C104" i="12"/>
  <c r="D104" i="12"/>
  <c r="B105" i="12" l="1"/>
  <c r="C105" i="12"/>
  <c r="D105" i="12"/>
  <c r="B106" i="12" l="1"/>
  <c r="C106" i="12"/>
  <c r="D106" i="12"/>
  <c r="B107" i="12" l="1"/>
  <c r="C107" i="12"/>
  <c r="D107" i="12"/>
  <c r="B108" i="12" l="1"/>
  <c r="C108" i="12"/>
  <c r="D108" i="12"/>
  <c r="B109" i="12" l="1"/>
  <c r="C109" i="12"/>
  <c r="D109" i="12"/>
  <c r="B110" i="12" l="1"/>
  <c r="C110" i="12"/>
  <c r="D110" i="12"/>
  <c r="B111" i="12" l="1"/>
  <c r="C111" i="12"/>
  <c r="D111" i="12"/>
  <c r="B112" i="12" l="1"/>
  <c r="C112" i="12"/>
  <c r="D112" i="12"/>
  <c r="B113" i="12" l="1"/>
  <c r="D113" i="12"/>
  <c r="C113" i="12"/>
  <c r="B114" i="12" l="1"/>
  <c r="C114" i="12"/>
  <c r="D114" i="12"/>
  <c r="B115" i="12" l="1"/>
  <c r="C115" i="12"/>
  <c r="D115" i="12"/>
  <c r="B116" i="12" l="1"/>
  <c r="C116" i="12"/>
  <c r="D116" i="12"/>
  <c r="B117" i="12" l="1"/>
  <c r="D117" i="12"/>
  <c r="C117" i="12"/>
  <c r="B118" i="12" l="1"/>
  <c r="C118" i="12"/>
  <c r="D118" i="12"/>
  <c r="B119" i="12" l="1"/>
  <c r="C119" i="12"/>
  <c r="D119" i="12"/>
  <c r="B120" i="12" l="1"/>
  <c r="C120" i="12"/>
  <c r="D120" i="12"/>
  <c r="B121" i="12" l="1"/>
  <c r="C121" i="12"/>
  <c r="D121" i="12"/>
  <c r="B122" i="12" l="1"/>
  <c r="C122" i="12"/>
  <c r="D122" i="12"/>
  <c r="B123" i="12" l="1"/>
  <c r="C123" i="12"/>
  <c r="D123" i="12"/>
  <c r="B124" i="12" l="1"/>
  <c r="C124" i="12"/>
  <c r="D124" i="12"/>
  <c r="B125" i="12" l="1"/>
  <c r="C125" i="12"/>
  <c r="D125" i="12"/>
  <c r="B126" i="12" l="1"/>
  <c r="C126" i="12"/>
  <c r="D126" i="12"/>
  <c r="B127" i="12" l="1"/>
  <c r="C127" i="12"/>
  <c r="D127" i="12"/>
  <c r="B128" i="12" l="1"/>
  <c r="C128" i="12"/>
  <c r="D128" i="12"/>
  <c r="B129" i="12" l="1"/>
  <c r="C129" i="12"/>
  <c r="D129" i="12"/>
  <c r="B130" i="12" l="1"/>
  <c r="C130" i="12"/>
  <c r="D130" i="12"/>
  <c r="B131" i="12" l="1"/>
  <c r="C131" i="12"/>
  <c r="D131" i="12"/>
  <c r="B132" i="12" l="1"/>
  <c r="C132" i="12"/>
  <c r="D132" i="12"/>
  <c r="B133" i="12" l="1"/>
  <c r="C133" i="12"/>
  <c r="D133" i="12"/>
  <c r="B134" i="12" l="1"/>
  <c r="C134" i="12"/>
  <c r="D134" i="12"/>
  <c r="B135" i="12" l="1"/>
  <c r="C135" i="12"/>
  <c r="D135" i="12"/>
  <c r="B136" i="12" l="1"/>
  <c r="C136" i="12"/>
  <c r="D136" i="12"/>
  <c r="B137" i="12" l="1"/>
  <c r="C137" i="12"/>
  <c r="D137" i="12"/>
  <c r="B138" i="12" l="1"/>
  <c r="C138" i="12"/>
  <c r="D138" i="12"/>
  <c r="B139" i="12" l="1"/>
  <c r="C139" i="12"/>
  <c r="D139" i="12"/>
  <c r="B140" i="12" l="1"/>
  <c r="C140" i="12"/>
  <c r="D140" i="12"/>
  <c r="B141" i="12" l="1"/>
  <c r="D141" i="12"/>
  <c r="C141" i="12"/>
  <c r="B142" i="12" l="1"/>
  <c r="C142" i="12"/>
  <c r="D142" i="12"/>
  <c r="B143" i="12" l="1"/>
  <c r="D143" i="12"/>
  <c r="C143" i="12"/>
  <c r="B144" i="12" l="1"/>
  <c r="C144" i="12"/>
  <c r="D144" i="12"/>
  <c r="B145" i="12" l="1"/>
  <c r="D145" i="12"/>
  <c r="C145" i="12"/>
  <c r="B146" i="12" l="1"/>
  <c r="C146" i="12"/>
  <c r="D146" i="12"/>
  <c r="B147" i="12" l="1"/>
  <c r="C147" i="12"/>
  <c r="D147" i="12"/>
  <c r="B148" i="12" l="1"/>
  <c r="D148" i="12"/>
  <c r="C148" i="12"/>
  <c r="B149" i="12" l="1"/>
  <c r="C149" i="12"/>
  <c r="D149" i="12"/>
  <c r="B150" i="12" l="1"/>
  <c r="D150" i="12"/>
  <c r="C150" i="12"/>
  <c r="B151" i="12" l="1"/>
  <c r="C151" i="12"/>
  <c r="D151" i="12"/>
  <c r="B152" i="12" l="1"/>
  <c r="C152" i="12"/>
  <c r="D152" i="12"/>
  <c r="B153" i="12" l="1"/>
  <c r="C153" i="12"/>
  <c r="D153" i="12"/>
  <c r="B154" i="12" l="1"/>
  <c r="C154" i="12"/>
  <c r="D154" i="12"/>
  <c r="B155" i="12" l="1"/>
  <c r="C155" i="12"/>
  <c r="D155" i="12"/>
  <c r="B156" i="12" l="1"/>
  <c r="C156" i="12"/>
  <c r="D156" i="12"/>
  <c r="B157" i="12" l="1"/>
  <c r="C157" i="12"/>
  <c r="D157" i="12"/>
  <c r="B158" i="12" l="1"/>
  <c r="C158" i="12"/>
  <c r="D158" i="12"/>
  <c r="B159" i="12" l="1"/>
  <c r="C159" i="12"/>
  <c r="D159" i="12"/>
  <c r="B160" i="12" l="1"/>
  <c r="C160" i="12"/>
  <c r="D160" i="12"/>
  <c r="B161" i="12" l="1"/>
  <c r="C161" i="12"/>
  <c r="D161" i="12"/>
  <c r="B162" i="12" l="1"/>
  <c r="C162" i="12"/>
  <c r="D162" i="12"/>
  <c r="B163" i="12" l="1"/>
  <c r="C163" i="12"/>
  <c r="D163" i="12"/>
  <c r="B164" i="12" l="1"/>
  <c r="C164" i="12"/>
  <c r="D164" i="12"/>
  <c r="B165" i="12" l="1"/>
  <c r="C165" i="12"/>
  <c r="D165" i="12"/>
  <c r="B166" i="12" l="1"/>
  <c r="C166" i="12"/>
  <c r="D166" i="12"/>
  <c r="B167" i="12" l="1"/>
  <c r="C167" i="12"/>
  <c r="D167" i="12"/>
  <c r="B168" i="12" l="1"/>
  <c r="C168" i="12"/>
  <c r="D168" i="12"/>
  <c r="B169" i="12" l="1"/>
  <c r="C169" i="12"/>
  <c r="D169" i="12"/>
  <c r="B170" i="12" l="1"/>
  <c r="C170" i="12"/>
  <c r="D170" i="12"/>
  <c r="B171" i="12" l="1"/>
  <c r="C171" i="12"/>
  <c r="D171" i="12"/>
  <c r="B172" i="12" l="1"/>
  <c r="C172" i="12"/>
  <c r="D172" i="12"/>
  <c r="B173" i="12" l="1"/>
  <c r="C173" i="12"/>
  <c r="D173" i="12"/>
  <c r="B174" i="12" l="1"/>
  <c r="C174" i="12"/>
  <c r="D174" i="12"/>
  <c r="B175" i="12" l="1"/>
  <c r="C175" i="12"/>
  <c r="D175" i="12"/>
  <c r="B176" i="12" l="1"/>
  <c r="C176" i="12"/>
  <c r="D176" i="12"/>
  <c r="B177" i="12" l="1"/>
  <c r="C177" i="12"/>
  <c r="D177" i="12"/>
  <c r="B178" i="12" l="1"/>
  <c r="C178" i="12"/>
  <c r="D178" i="12"/>
  <c r="B179" i="12" l="1"/>
  <c r="C179" i="12"/>
  <c r="D179" i="12"/>
  <c r="B180" i="12" l="1"/>
  <c r="C180" i="12"/>
  <c r="D180" i="12"/>
  <c r="B181" i="12" l="1"/>
  <c r="C181" i="12"/>
  <c r="D181" i="12"/>
  <c r="B182" i="12" l="1"/>
  <c r="C182" i="12"/>
  <c r="D182" i="12"/>
  <c r="B183" i="12" l="1"/>
  <c r="C183" i="12"/>
  <c r="D183" i="12"/>
  <c r="B184" i="12" l="1"/>
  <c r="C184" i="12"/>
  <c r="D184" i="12"/>
  <c r="B185" i="12" l="1"/>
  <c r="C185" i="12"/>
  <c r="D185" i="12"/>
  <c r="B186" i="12" l="1"/>
  <c r="C186" i="12"/>
  <c r="D186" i="12"/>
  <c r="B187" i="12" l="1"/>
  <c r="C187" i="12"/>
  <c r="D187" i="12"/>
  <c r="B188" i="12" l="1"/>
  <c r="C188" i="12"/>
  <c r="D188" i="12"/>
  <c r="B189" i="12" l="1"/>
  <c r="C189" i="12"/>
  <c r="D189" i="12"/>
  <c r="B190" i="12" l="1"/>
  <c r="C190" i="12"/>
  <c r="D190" i="12"/>
  <c r="B191" i="12" l="1"/>
  <c r="C191" i="12"/>
  <c r="D191" i="12"/>
  <c r="B192" i="12" l="1"/>
  <c r="C192" i="12"/>
  <c r="D192" i="12"/>
  <c r="B193" i="12" l="1"/>
  <c r="C193" i="12"/>
  <c r="D193" i="12"/>
  <c r="B194" i="12" l="1"/>
  <c r="C194" i="12"/>
  <c r="D194" i="12"/>
  <c r="B195" i="12" l="1"/>
  <c r="C195" i="12"/>
  <c r="D195" i="12"/>
  <c r="B196" i="12" l="1"/>
  <c r="C196" i="12"/>
  <c r="D196" i="12"/>
  <c r="B197" i="12" l="1"/>
  <c r="C197" i="12"/>
  <c r="D197" i="12"/>
  <c r="B198" i="12" l="1"/>
  <c r="C198" i="12"/>
  <c r="D198" i="12"/>
  <c r="B199" i="12" l="1"/>
  <c r="C199" i="12"/>
  <c r="D199" i="12"/>
  <c r="B200" i="12" l="1"/>
  <c r="C200" i="12"/>
  <c r="D200" i="12"/>
  <c r="B201" i="12" l="1"/>
  <c r="C201" i="12"/>
  <c r="D201" i="12"/>
  <c r="B202" i="12" l="1"/>
  <c r="C202" i="12"/>
  <c r="D202" i="12"/>
  <c r="B203" i="12" l="1"/>
  <c r="D203" i="12"/>
  <c r="C203" i="12"/>
  <c r="B204" i="12" l="1"/>
  <c r="C204" i="12"/>
  <c r="D204" i="12"/>
  <c r="B205" i="12" l="1"/>
  <c r="C205" i="12"/>
  <c r="D205" i="12"/>
  <c r="B206" i="12" l="1"/>
  <c r="C206" i="12"/>
  <c r="D206" i="12"/>
  <c r="B207" i="12" l="1"/>
  <c r="C207" i="12"/>
  <c r="D207" i="12"/>
  <c r="B208" i="12" l="1"/>
  <c r="C208" i="12"/>
  <c r="D208" i="12"/>
  <c r="B209" i="12" l="1"/>
  <c r="C209" i="12"/>
  <c r="D209" i="12"/>
  <c r="B210" i="12" l="1"/>
  <c r="C210" i="12"/>
  <c r="D210" i="12"/>
  <c r="B211" i="12" l="1"/>
  <c r="C211" i="12"/>
  <c r="D211" i="12"/>
  <c r="B212" i="12" l="1"/>
  <c r="C212" i="12"/>
  <c r="D212" i="12"/>
  <c r="B213" i="12" l="1"/>
  <c r="C213" i="12"/>
  <c r="D213" i="12"/>
  <c r="B214" i="12" l="1"/>
  <c r="C214" i="12"/>
  <c r="D214" i="12"/>
  <c r="B215" i="12" l="1"/>
  <c r="C215" i="12"/>
  <c r="D215" i="12"/>
  <c r="B216" i="12" l="1"/>
  <c r="C216" i="12"/>
  <c r="D216" i="12"/>
  <c r="B217" i="12" l="1"/>
  <c r="C217" i="12"/>
  <c r="D217" i="12"/>
  <c r="B218" i="12" l="1"/>
  <c r="C218" i="12"/>
  <c r="D218" i="12"/>
  <c r="B219" i="12" l="1"/>
  <c r="C219" i="12"/>
  <c r="D219" i="12"/>
  <c r="B220" i="12" l="1"/>
  <c r="C220" i="12"/>
  <c r="D220" i="12"/>
  <c r="B221" i="12" l="1"/>
  <c r="C221" i="12"/>
  <c r="D221" i="12"/>
  <c r="B222" i="12" l="1"/>
  <c r="C222" i="12"/>
  <c r="D222" i="12"/>
  <c r="B223" i="12" l="1"/>
  <c r="C223" i="12"/>
  <c r="D223" i="12"/>
  <c r="B224" i="12" l="1"/>
  <c r="C224" i="12"/>
  <c r="D224" i="12"/>
  <c r="B225" i="12" l="1"/>
  <c r="C225" i="12"/>
  <c r="D225" i="12"/>
  <c r="B226" i="12" l="1"/>
  <c r="C226" i="12"/>
  <c r="D226" i="12"/>
  <c r="B227" i="12" l="1"/>
  <c r="C227" i="12"/>
  <c r="D227" i="12"/>
  <c r="B228" i="12" l="1"/>
  <c r="C228" i="12"/>
  <c r="D228" i="12"/>
  <c r="B229" i="12" l="1"/>
  <c r="C229" i="12"/>
  <c r="D229" i="12"/>
  <c r="B230" i="12" l="1"/>
  <c r="C230" i="12"/>
  <c r="D230" i="12"/>
  <c r="B231" i="12" l="1"/>
  <c r="C231" i="12"/>
  <c r="D231" i="12"/>
  <c r="B232" i="12" l="1"/>
  <c r="C232" i="12"/>
  <c r="D232" i="12"/>
</calcChain>
</file>

<file path=xl/sharedStrings.xml><?xml version="1.0" encoding="utf-8"?>
<sst xmlns="http://schemas.openxmlformats.org/spreadsheetml/2006/main" count="177" uniqueCount="44">
  <si>
    <t>Step</t>
  </si>
  <si>
    <t>Model</t>
  </si>
  <si>
    <t>Mallignant?</t>
  </si>
  <si>
    <t>Size of cancer cell (mm)</t>
  </si>
  <si>
    <t>Yes</t>
  </si>
  <si>
    <t>No</t>
  </si>
  <si>
    <t>x</t>
  </si>
  <si>
    <t>Sigmoid(x)</t>
  </si>
  <si>
    <t>k</t>
  </si>
  <si>
    <t>M</t>
  </si>
  <si>
    <t>Sigmoid(M.x + k)</t>
  </si>
  <si>
    <t>Sq Error</t>
  </si>
  <si>
    <t>k --&gt;</t>
  </si>
  <si>
    <t>Y=1</t>
  </si>
  <si>
    <t>Y=0</t>
  </si>
  <si>
    <t>Cost</t>
  </si>
  <si>
    <t>https://statpages.info/logistic.html</t>
  </si>
  <si>
    <t>Result matches</t>
  </si>
  <si>
    <t>Modle -actual</t>
  </si>
  <si>
    <t>Accuracy</t>
  </si>
  <si>
    <t>Misclassification rate
(or error)</t>
  </si>
  <si>
    <t xml:space="preserve">Overall, how often is the classifier correct? </t>
  </si>
  <si>
    <t xml:space="preserve">Overall, how often is it wrong? </t>
  </si>
  <si>
    <t xml:space="preserve">When it's actually yes, how often does it predict yes? </t>
  </si>
  <si>
    <t>False positive rate</t>
  </si>
  <si>
    <t xml:space="preserve">When it's actually no, how often does it predict yes? </t>
  </si>
  <si>
    <t>Actual</t>
  </si>
  <si>
    <t>Prediction</t>
  </si>
  <si>
    <t>Precision</t>
  </si>
  <si>
    <t>When it predicts yes, how often is it correct?</t>
  </si>
  <si>
    <t>Recall
('Sensitivity' or True positive rate)</t>
  </si>
  <si>
    <t>A</t>
  </si>
  <si>
    <t>B</t>
  </si>
  <si>
    <t>C</t>
  </si>
  <si>
    <t>D</t>
  </si>
  <si>
    <t>E</t>
  </si>
  <si>
    <t>F</t>
  </si>
  <si>
    <t>G</t>
  </si>
  <si>
    <t>H</t>
  </si>
  <si>
    <t>J</t>
  </si>
  <si>
    <t>Sum</t>
  </si>
  <si>
    <t>Mean</t>
  </si>
  <si>
    <t>1/x</t>
  </si>
  <si>
    <t>Harmonic 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</si>
</sst>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"/>
    <numFmt numFmtId="166" formatCode="0.000"/>
    <numFmt numFmtId="167" formatCode="0.0%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9" fontId="0" fillId="0" borderId="5" xfId="1" applyFont="1" applyBorder="1" applyAlignment="1">
      <alignment horizontal="center" vertical="center"/>
    </xf>
    <xf numFmtId="9" fontId="0" fillId="0" borderId="8" xfId="1" applyFont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/>
    </xf>
    <xf numFmtId="0" fontId="6" fillId="2" borderId="6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164" fontId="0" fillId="2" borderId="0" xfId="0" applyNumberFormat="1" applyFill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9" fontId="0" fillId="0" borderId="3" xfId="1" applyFont="1" applyBorder="1" applyAlignment="1">
      <alignment horizontal="center" vertical="center"/>
    </xf>
    <xf numFmtId="165" fontId="0" fillId="0" borderId="3" xfId="0" applyNumberFormat="1" applyBorder="1" applyAlignment="1">
      <alignment horizont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/>
    </xf>
    <xf numFmtId="0" fontId="0" fillId="0" borderId="1" xfId="0" applyBorder="1"/>
    <xf numFmtId="0" fontId="0" fillId="2" borderId="2" xfId="0" applyFill="1" applyBorder="1"/>
    <xf numFmtId="0" fontId="0" fillId="0" borderId="20" xfId="0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2" fontId="0" fillId="0" borderId="3" xfId="1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2" fillId="0" borderId="16" xfId="0" applyFont="1" applyFill="1" applyBorder="1" applyAlignment="1">
      <alignment horizontal="center" vertical="center" wrapText="1"/>
    </xf>
    <xf numFmtId="0" fontId="2" fillId="0" borderId="22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2" fontId="0" fillId="0" borderId="4" xfId="1" applyNumberFormat="1" applyFont="1" applyBorder="1" applyAlignment="1">
      <alignment horizontal="center" vertical="center"/>
    </xf>
    <xf numFmtId="2" fontId="0" fillId="0" borderId="5" xfId="1" applyNumberFormat="1" applyFont="1" applyBorder="1" applyAlignment="1">
      <alignment horizontal="center" vertical="center"/>
    </xf>
    <xf numFmtId="2" fontId="0" fillId="0" borderId="6" xfId="1" applyNumberFormat="1" applyFont="1" applyBorder="1" applyAlignment="1">
      <alignment horizontal="center" vertical="center"/>
    </xf>
    <xf numFmtId="2" fontId="0" fillId="0" borderId="8" xfId="1" applyNumberFormat="1" applyFont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 vertical="center"/>
    </xf>
    <xf numFmtId="2" fontId="4" fillId="0" borderId="15" xfId="0" applyNumberFormat="1" applyFont="1" applyBorder="1" applyAlignment="1">
      <alignment horizontal="center"/>
    </xf>
    <xf numFmtId="166" fontId="0" fillId="0" borderId="4" xfId="1" applyNumberFormat="1" applyFon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2" fontId="8" fillId="0" borderId="23" xfId="0" applyNumberFormat="1" applyFont="1" applyBorder="1" applyAlignment="1">
      <alignment horizontal="center" vertical="center"/>
    </xf>
    <xf numFmtId="2" fontId="8" fillId="0" borderId="2" xfId="0" applyNumberFormat="1" applyFont="1" applyBorder="1" applyAlignment="1">
      <alignment horizontal="center" vertical="center"/>
    </xf>
    <xf numFmtId="0" fontId="9" fillId="0" borderId="0" xfId="2"/>
    <xf numFmtId="165" fontId="10" fillId="0" borderId="0" xfId="0" applyNumberFormat="1" applyFont="1"/>
    <xf numFmtId="164" fontId="0" fillId="0" borderId="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165" fontId="10" fillId="0" borderId="0" xfId="0" applyNumberFormat="1" applyFont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3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left" vertical="center"/>
    </xf>
    <xf numFmtId="0" fontId="4" fillId="4" borderId="27" xfId="0" applyFont="1" applyFill="1" applyBorder="1" applyAlignment="1">
      <alignment horizontal="center" vertical="center"/>
    </xf>
    <xf numFmtId="0" fontId="13" fillId="3" borderId="27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2" fontId="7" fillId="0" borderId="3" xfId="0" applyNumberFormat="1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Alignment="1">
      <alignment vertical="center"/>
    </xf>
    <xf numFmtId="0" fontId="0" fillId="0" borderId="15" xfId="0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3">
    <cellStyle name="Hyperlink" xfId="2" builtinId="8"/>
    <cellStyle name="Normal" xfId="0" builtinId="0"/>
    <cellStyle name="Per cent" xfId="1" builtinId="5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D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Relationship</a:t>
            </a:r>
            <a:r>
              <a:rPr lang="en-US" sz="2000" baseline="0"/>
              <a:t> between size and malignancy for tumours based on historical data</a:t>
            </a:r>
            <a:endParaRPr lang="en-US" sz="20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'Cancer Model Linear'!$D$3</c:f>
              <c:strCache>
                <c:ptCount val="1"/>
                <c:pt idx="0">
                  <c:v>Mallignant?</c:v>
                </c:pt>
              </c:strCache>
            </c:strRef>
          </c:tx>
          <c:spPr>
            <a:ln w="28575">
              <a:noFill/>
            </a:ln>
          </c:spPr>
          <c:dPt>
            <c:idx val="0"/>
            <c:marker>
              <c:symbol val="circle"/>
              <c:size val="10"/>
              <c:spPr>
                <a:solidFill>
                  <a:srgbClr val="00B05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D1B-7F47-9B12-18D1DF66975F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00B05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D1B-7F47-9B12-18D1DF66975F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00B05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D1B-7F47-9B12-18D1DF66975F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00B05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D1B-7F47-9B12-18D1DF66975F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6D1B-7F47-9B12-18D1DF66975F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6D1B-7F47-9B12-18D1DF66975F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00B05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6D1B-7F47-9B12-18D1DF66975F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6D1B-7F47-9B12-18D1DF66975F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6D1B-7F47-9B12-18D1DF66975F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6D1B-7F47-9B12-18D1DF66975F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6D1B-7F47-9B12-18D1DF66975F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6D1B-7F47-9B12-18D1DF66975F}"/>
              </c:ext>
            </c:extLst>
          </c:dPt>
          <c:trendline>
            <c:trendlineType val="linear"/>
            <c:dispRSqr val="0"/>
            <c:dispEq val="1"/>
            <c:trendlineLbl>
              <c:layout>
                <c:manualLayout>
                  <c:x val="0.19724633639724021"/>
                  <c:y val="0.34863007149363218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3200"/>
                  </a:pPr>
                  <a:endParaRPr lang="en-US"/>
                </a:p>
              </c:txPr>
            </c:trendlineLbl>
          </c:trendline>
          <c:xVal>
            <c:numRef>
              <c:f>'Cancer Model Linear'!$B$4:$B$16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5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'Cancer Model Linear'!$D$4:$D$15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D1B-7F47-9B12-18D1DF669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219520"/>
        <c:axId val="292881152"/>
      </c:scatterChart>
      <c:valAx>
        <c:axId val="292219520"/>
        <c:scaling>
          <c:orientation val="minMax"/>
          <c:max val="18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Size of Tumour in mm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2881152"/>
        <c:crosses val="autoZero"/>
        <c:crossBetween val="midCat"/>
      </c:valAx>
      <c:valAx>
        <c:axId val="292881152"/>
        <c:scaling>
          <c:orientation val="minMax"/>
          <c:max val="1.2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Was the tumor mallignant?</a:t>
                </a:r>
                <a:br>
                  <a:rPr lang="en-US" sz="1600"/>
                </a:br>
                <a:r>
                  <a:rPr lang="en-US" sz="1600"/>
                  <a:t> (Yes =1,</a:t>
                </a:r>
                <a:r>
                  <a:rPr lang="en-US" sz="1600" baseline="0"/>
                  <a:t> No = 0)</a:t>
                </a:r>
                <a:endParaRPr lang="en-US" sz="1600"/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200" b="0"/>
            </a:pPr>
            <a:endParaRPr lang="en-US"/>
          </a:p>
        </c:txPr>
        <c:crossAx val="292219520"/>
        <c:crosses val="autoZero"/>
        <c:crossBetween val="midCat"/>
        <c:majorUnit val="0.1"/>
        <c:min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/>
            </a:pPr>
            <a:r>
              <a:rPr lang="en-US" sz="2400"/>
              <a:t>Sigmoid(x) : h(x) = 1/(</a:t>
            </a:r>
            <a:r>
              <a:rPr lang="en-US" sz="2400" baseline="0"/>
              <a:t> 1+e</a:t>
            </a:r>
            <a:r>
              <a:rPr lang="en-US" sz="2400" baseline="30000"/>
              <a:t>-(M.x+k)</a:t>
            </a:r>
            <a:r>
              <a:rPr lang="en-US" sz="2400" baseline="0"/>
              <a:t>)</a:t>
            </a:r>
            <a:endParaRPr lang="en-US" sz="2400"/>
          </a:p>
        </c:rich>
      </c:tx>
      <c:layout>
        <c:manualLayout>
          <c:xMode val="edge"/>
          <c:yMode val="edge"/>
          <c:x val="0.29216558110806984"/>
          <c:y val="1.566715881831791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Sigmoid!$C$6</c:f>
              <c:strCache>
                <c:ptCount val="1"/>
                <c:pt idx="0">
                  <c:v>Sigmoid(x)</c:v>
                </c:pt>
              </c:strCache>
            </c:strRef>
          </c:tx>
          <c:spPr>
            <a:ln w="69850">
              <a:solidFill>
                <a:schemeClr val="accent5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Sigmoid!$B$7:$B$57</c:f>
              <c:numCache>
                <c:formatCode>0.0</c:formatCode>
                <c:ptCount val="5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  <c:pt idx="45">
                  <c:v>17.5</c:v>
                </c:pt>
                <c:pt idx="46">
                  <c:v>18</c:v>
                </c:pt>
                <c:pt idx="47">
                  <c:v>18.5</c:v>
                </c:pt>
                <c:pt idx="48">
                  <c:v>19</c:v>
                </c:pt>
                <c:pt idx="49">
                  <c:v>19.5</c:v>
                </c:pt>
                <c:pt idx="50">
                  <c:v>20</c:v>
                </c:pt>
              </c:numCache>
            </c:numRef>
          </c:xVal>
          <c:yVal>
            <c:numRef>
              <c:f>Sigmoid!$D$7:$D$57</c:f>
              <c:numCache>
                <c:formatCode>0.00</c:formatCode>
                <c:ptCount val="51"/>
                <c:pt idx="0">
                  <c:v>6.6928509242848554E-3</c:v>
                </c:pt>
                <c:pt idx="1">
                  <c:v>1.098694263059318E-2</c:v>
                </c:pt>
                <c:pt idx="2">
                  <c:v>1.7986209962091559E-2</c:v>
                </c:pt>
                <c:pt idx="3">
                  <c:v>2.9312230751356319E-2</c:v>
                </c:pt>
                <c:pt idx="4">
                  <c:v>4.7425873177566781E-2</c:v>
                </c:pt>
                <c:pt idx="5">
                  <c:v>7.5858180021243546E-2</c:v>
                </c:pt>
                <c:pt idx="6">
                  <c:v>0.11920292202211755</c:v>
                </c:pt>
                <c:pt idx="7">
                  <c:v>0.18242552380635635</c:v>
                </c:pt>
                <c:pt idx="8">
                  <c:v>0.2689414213699951</c:v>
                </c:pt>
                <c:pt idx="9">
                  <c:v>0.37754066879814541</c:v>
                </c:pt>
                <c:pt idx="10">
                  <c:v>0.5</c:v>
                </c:pt>
                <c:pt idx="11">
                  <c:v>0.62245933120185459</c:v>
                </c:pt>
                <c:pt idx="12">
                  <c:v>0.7310585786300049</c:v>
                </c:pt>
                <c:pt idx="13">
                  <c:v>0.81757447619364365</c:v>
                </c:pt>
                <c:pt idx="14">
                  <c:v>0.88079707797788243</c:v>
                </c:pt>
                <c:pt idx="15">
                  <c:v>0.92414181997875644</c:v>
                </c:pt>
                <c:pt idx="16">
                  <c:v>0.95257412682243325</c:v>
                </c:pt>
                <c:pt idx="17">
                  <c:v>0.97068776924864364</c:v>
                </c:pt>
                <c:pt idx="18">
                  <c:v>0.98201379003790845</c:v>
                </c:pt>
                <c:pt idx="19">
                  <c:v>0.98901305736940681</c:v>
                </c:pt>
                <c:pt idx="20">
                  <c:v>0.99330714907571516</c:v>
                </c:pt>
                <c:pt idx="21">
                  <c:v>0.99592986228410385</c:v>
                </c:pt>
                <c:pt idx="22">
                  <c:v>0.99752737684336523</c:v>
                </c:pt>
                <c:pt idx="23">
                  <c:v>0.99849881774326299</c:v>
                </c:pt>
                <c:pt idx="24">
                  <c:v>0.9990889488055994</c:v>
                </c:pt>
                <c:pt idx="25">
                  <c:v>0.9994472213630764</c:v>
                </c:pt>
                <c:pt idx="26">
                  <c:v>0.99966464986953352</c:v>
                </c:pt>
                <c:pt idx="27">
                  <c:v>0.9997965730219448</c:v>
                </c:pt>
                <c:pt idx="28">
                  <c:v>0.9998766054240138</c:v>
                </c:pt>
                <c:pt idx="29">
                  <c:v>0.99992515377248936</c:v>
                </c:pt>
                <c:pt idx="30">
                  <c:v>0.99995460213129761</c:v>
                </c:pt>
                <c:pt idx="31">
                  <c:v>0.99997246430888542</c:v>
                </c:pt>
                <c:pt idx="32">
                  <c:v>0.99998329857815194</c:v>
                </c:pt>
                <c:pt idx="33">
                  <c:v>0.99998987000901918</c:v>
                </c:pt>
                <c:pt idx="34">
                  <c:v>0.99999385582539779</c:v>
                </c:pt>
                <c:pt idx="35">
                  <c:v>0.99999627336071584</c:v>
                </c:pt>
                <c:pt idx="36">
                  <c:v>0.99999773967570205</c:v>
                </c:pt>
                <c:pt idx="37">
                  <c:v>0.99999862904279313</c:v>
                </c:pt>
                <c:pt idx="38">
                  <c:v>0.99999916847197234</c:v>
                </c:pt>
                <c:pt idx="39">
                  <c:v>0.99999949565259183</c:v>
                </c:pt>
                <c:pt idx="40">
                  <c:v>0.99999969409777312</c:v>
                </c:pt>
                <c:pt idx="41">
                  <c:v>0.99999981446089814</c:v>
                </c:pt>
                <c:pt idx="42">
                  <c:v>0.99999988746483792</c:v>
                </c:pt>
                <c:pt idx="43">
                  <c:v>0.99999993174397095</c:v>
                </c:pt>
                <c:pt idx="44">
                  <c:v>0.99999995860062452</c:v>
                </c:pt>
                <c:pt idx="45">
                  <c:v>0.99999997489000902</c:v>
                </c:pt>
                <c:pt idx="46">
                  <c:v>0.9999999847700205</c:v>
                </c:pt>
                <c:pt idx="47">
                  <c:v>0.99999999076255042</c:v>
                </c:pt>
                <c:pt idx="48">
                  <c:v>0.99999999439720355</c:v>
                </c:pt>
                <c:pt idx="49">
                  <c:v>0.99999999660173222</c:v>
                </c:pt>
                <c:pt idx="50">
                  <c:v>0.99999999793884642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D2-6A4B-82E9-773DDC1E9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922880"/>
        <c:axId val="292924800"/>
      </c:scatterChart>
      <c:valAx>
        <c:axId val="292922880"/>
        <c:scaling>
          <c:orientation val="minMax"/>
          <c:max val="14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2400"/>
                </a:pPr>
                <a:r>
                  <a:rPr lang="en-US" sz="2400"/>
                  <a:t>X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292924800"/>
        <c:crosses val="autoZero"/>
        <c:crossBetween val="midCat"/>
        <c:majorUnit val="1"/>
        <c:minorUnit val="0.5"/>
      </c:valAx>
      <c:valAx>
        <c:axId val="29292480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sz="2800"/>
                </a:pPr>
                <a:r>
                  <a:rPr lang="en-US" sz="2800"/>
                  <a:t>h(x)</a:t>
                </a: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29292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/>
            </a:pPr>
            <a:r>
              <a:rPr lang="en-US" sz="2400"/>
              <a:t>Sigmoid(x) : h(x) = 1/(</a:t>
            </a:r>
            <a:r>
              <a:rPr lang="en-US" sz="2400" baseline="0"/>
              <a:t> 1+e</a:t>
            </a:r>
            <a:r>
              <a:rPr lang="en-US" sz="2400" baseline="30000"/>
              <a:t>-x</a:t>
            </a:r>
            <a:r>
              <a:rPr lang="en-US" sz="2400" baseline="0"/>
              <a:t>)</a:t>
            </a:r>
            <a:endParaRPr lang="en-US" sz="2400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Sigmoid!$C$6</c:f>
              <c:strCache>
                <c:ptCount val="1"/>
                <c:pt idx="0">
                  <c:v>Sigmoid(x)</c:v>
                </c:pt>
              </c:strCache>
            </c:strRef>
          </c:tx>
          <c:spPr>
            <a:ln w="69850">
              <a:solidFill>
                <a:schemeClr val="accent5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Sigmoid!$B$7:$B$57</c:f>
              <c:numCache>
                <c:formatCode>0.0</c:formatCode>
                <c:ptCount val="5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  <c:pt idx="45">
                  <c:v>17.5</c:v>
                </c:pt>
                <c:pt idx="46">
                  <c:v>18</c:v>
                </c:pt>
                <c:pt idx="47">
                  <c:v>18.5</c:v>
                </c:pt>
                <c:pt idx="48">
                  <c:v>19</c:v>
                </c:pt>
                <c:pt idx="49">
                  <c:v>19.5</c:v>
                </c:pt>
                <c:pt idx="50">
                  <c:v>20</c:v>
                </c:pt>
              </c:numCache>
            </c:numRef>
          </c:xVal>
          <c:yVal>
            <c:numRef>
              <c:f>Sigmoid!$C$7:$C$57</c:f>
              <c:numCache>
                <c:formatCode>0.00</c:formatCode>
                <c:ptCount val="51"/>
                <c:pt idx="0">
                  <c:v>6.6928509242848554E-3</c:v>
                </c:pt>
                <c:pt idx="1">
                  <c:v>1.098694263059318E-2</c:v>
                </c:pt>
                <c:pt idx="2">
                  <c:v>1.7986209962091559E-2</c:v>
                </c:pt>
                <c:pt idx="3">
                  <c:v>2.9312230751356319E-2</c:v>
                </c:pt>
                <c:pt idx="4">
                  <c:v>4.7425873177566781E-2</c:v>
                </c:pt>
                <c:pt idx="5">
                  <c:v>7.5858180021243546E-2</c:v>
                </c:pt>
                <c:pt idx="6">
                  <c:v>0.11920292202211755</c:v>
                </c:pt>
                <c:pt idx="7">
                  <c:v>0.18242552380635635</c:v>
                </c:pt>
                <c:pt idx="8">
                  <c:v>0.2689414213699951</c:v>
                </c:pt>
                <c:pt idx="9">
                  <c:v>0.37754066879814541</c:v>
                </c:pt>
                <c:pt idx="10">
                  <c:v>0.5</c:v>
                </c:pt>
                <c:pt idx="11">
                  <c:v>0.62245933120185459</c:v>
                </c:pt>
                <c:pt idx="12">
                  <c:v>0.7310585786300049</c:v>
                </c:pt>
                <c:pt idx="13">
                  <c:v>0.81757447619364365</c:v>
                </c:pt>
                <c:pt idx="14">
                  <c:v>0.88079707797788243</c:v>
                </c:pt>
                <c:pt idx="15">
                  <c:v>0.92414181997875644</c:v>
                </c:pt>
                <c:pt idx="16">
                  <c:v>0.95257412682243325</c:v>
                </c:pt>
                <c:pt idx="17">
                  <c:v>0.97068776924864364</c:v>
                </c:pt>
                <c:pt idx="18">
                  <c:v>0.98201379003790845</c:v>
                </c:pt>
                <c:pt idx="19">
                  <c:v>0.98901305736940681</c:v>
                </c:pt>
                <c:pt idx="20">
                  <c:v>0.99330714907571516</c:v>
                </c:pt>
                <c:pt idx="21">
                  <c:v>0.99592986228410385</c:v>
                </c:pt>
                <c:pt idx="22">
                  <c:v>0.99752737684336523</c:v>
                </c:pt>
                <c:pt idx="23">
                  <c:v>0.99849881774326299</c:v>
                </c:pt>
                <c:pt idx="24">
                  <c:v>0.9990889488055994</c:v>
                </c:pt>
                <c:pt idx="25">
                  <c:v>0.9994472213630764</c:v>
                </c:pt>
                <c:pt idx="26">
                  <c:v>0.99966464986953352</c:v>
                </c:pt>
                <c:pt idx="27">
                  <c:v>0.9997965730219448</c:v>
                </c:pt>
                <c:pt idx="28">
                  <c:v>0.9998766054240138</c:v>
                </c:pt>
                <c:pt idx="29">
                  <c:v>0.99992515377248936</c:v>
                </c:pt>
                <c:pt idx="30">
                  <c:v>0.99995460213129761</c:v>
                </c:pt>
                <c:pt idx="31">
                  <c:v>0.99997246430888542</c:v>
                </c:pt>
                <c:pt idx="32">
                  <c:v>0.99998329857815194</c:v>
                </c:pt>
                <c:pt idx="33">
                  <c:v>0.99998987000901918</c:v>
                </c:pt>
                <c:pt idx="34">
                  <c:v>0.99999385582539779</c:v>
                </c:pt>
                <c:pt idx="35">
                  <c:v>0.99999627336071584</c:v>
                </c:pt>
                <c:pt idx="36">
                  <c:v>0.99999773967570205</c:v>
                </c:pt>
                <c:pt idx="37">
                  <c:v>0.99999862904279313</c:v>
                </c:pt>
                <c:pt idx="38">
                  <c:v>0.99999916847197234</c:v>
                </c:pt>
                <c:pt idx="39">
                  <c:v>0.99999949565259183</c:v>
                </c:pt>
                <c:pt idx="40">
                  <c:v>0.99999969409777312</c:v>
                </c:pt>
                <c:pt idx="41">
                  <c:v>0.99999981446089814</c:v>
                </c:pt>
                <c:pt idx="42">
                  <c:v>0.99999988746483792</c:v>
                </c:pt>
                <c:pt idx="43">
                  <c:v>0.99999993174397095</c:v>
                </c:pt>
                <c:pt idx="44">
                  <c:v>0.99999995860062452</c:v>
                </c:pt>
                <c:pt idx="45">
                  <c:v>0.99999997489000902</c:v>
                </c:pt>
                <c:pt idx="46">
                  <c:v>0.9999999847700205</c:v>
                </c:pt>
                <c:pt idx="47">
                  <c:v>0.99999999076255042</c:v>
                </c:pt>
                <c:pt idx="48">
                  <c:v>0.99999999439720355</c:v>
                </c:pt>
                <c:pt idx="49">
                  <c:v>0.99999999660173222</c:v>
                </c:pt>
                <c:pt idx="50">
                  <c:v>0.99999999793884642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C-674A-8E0E-5196A2336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457920"/>
        <c:axId val="293459840"/>
      </c:scatterChart>
      <c:valAx>
        <c:axId val="293457920"/>
        <c:scaling>
          <c:orientation val="minMax"/>
          <c:max val="5"/>
          <c:min val="-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2400"/>
                </a:pPr>
                <a:r>
                  <a:rPr lang="en-US" sz="2400"/>
                  <a:t>X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293459840"/>
        <c:crosses val="autoZero"/>
        <c:crossBetween val="midCat"/>
        <c:majorUnit val="1"/>
        <c:minorUnit val="0.5"/>
      </c:valAx>
      <c:valAx>
        <c:axId val="29345984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sz="2800"/>
                </a:pPr>
                <a:r>
                  <a:rPr lang="en-US" sz="2800"/>
                  <a:t>h(x)</a:t>
                </a: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293457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Sigmoid(x) : Y = 1/(</a:t>
            </a:r>
            <a:r>
              <a:rPr lang="en-US" baseline="0"/>
              <a:t> 1+e</a:t>
            </a:r>
            <a:r>
              <a:rPr lang="en-US" baseline="30000"/>
              <a:t>-x</a:t>
            </a:r>
            <a:r>
              <a:rPr lang="en-US" baseline="0"/>
              <a:t>)</a:t>
            </a:r>
            <a:endParaRPr lang="en-US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'Cancer model sigmoid'!$C$27</c:f>
              <c:strCache>
                <c:ptCount val="1"/>
                <c:pt idx="0">
                  <c:v>Sigmoid(x)</c:v>
                </c:pt>
              </c:strCache>
            </c:strRef>
          </c:tx>
          <c:marker>
            <c:symbol val="none"/>
          </c:marker>
          <c:xVal>
            <c:numRef>
              <c:f>'Cancer model sigmoid'!$B$28:$B$78</c:f>
              <c:numCache>
                <c:formatCode>0.0</c:formatCode>
                <c:ptCount val="51"/>
                <c:pt idx="0">
                  <c:v>-2</c:v>
                </c:pt>
                <c:pt idx="1">
                  <c:v>-1.5</c:v>
                </c:pt>
                <c:pt idx="2">
                  <c:v>-1</c:v>
                </c:pt>
                <c:pt idx="3">
                  <c:v>-0.5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4.5</c:v>
                </c:pt>
                <c:pt idx="14">
                  <c:v>5</c:v>
                </c:pt>
                <c:pt idx="15">
                  <c:v>5.5</c:v>
                </c:pt>
                <c:pt idx="16">
                  <c:v>6</c:v>
                </c:pt>
                <c:pt idx="17">
                  <c:v>6.5</c:v>
                </c:pt>
                <c:pt idx="18">
                  <c:v>7</c:v>
                </c:pt>
                <c:pt idx="19">
                  <c:v>7.5</c:v>
                </c:pt>
                <c:pt idx="20">
                  <c:v>8</c:v>
                </c:pt>
                <c:pt idx="21">
                  <c:v>8.5</c:v>
                </c:pt>
                <c:pt idx="22">
                  <c:v>9</c:v>
                </c:pt>
                <c:pt idx="23">
                  <c:v>9.5</c:v>
                </c:pt>
                <c:pt idx="24">
                  <c:v>10</c:v>
                </c:pt>
                <c:pt idx="25">
                  <c:v>10.5</c:v>
                </c:pt>
                <c:pt idx="26">
                  <c:v>11</c:v>
                </c:pt>
                <c:pt idx="27">
                  <c:v>11.5</c:v>
                </c:pt>
                <c:pt idx="28">
                  <c:v>12</c:v>
                </c:pt>
                <c:pt idx="29">
                  <c:v>12.5</c:v>
                </c:pt>
                <c:pt idx="30">
                  <c:v>13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18</c:v>
                </c:pt>
                <c:pt idx="41">
                  <c:v>18.5</c:v>
                </c:pt>
                <c:pt idx="42">
                  <c:v>19</c:v>
                </c:pt>
                <c:pt idx="43">
                  <c:v>19.5</c:v>
                </c:pt>
                <c:pt idx="44">
                  <c:v>20</c:v>
                </c:pt>
                <c:pt idx="45">
                  <c:v>20.5</c:v>
                </c:pt>
                <c:pt idx="46">
                  <c:v>21</c:v>
                </c:pt>
                <c:pt idx="47">
                  <c:v>21.5</c:v>
                </c:pt>
                <c:pt idx="48">
                  <c:v>22</c:v>
                </c:pt>
                <c:pt idx="49">
                  <c:v>22.5</c:v>
                </c:pt>
                <c:pt idx="50">
                  <c:v>23</c:v>
                </c:pt>
              </c:numCache>
            </c:numRef>
          </c:xVal>
          <c:yVal>
            <c:numRef>
              <c:f>'Cancer model sigmoid'!$D$28:$D$78</c:f>
              <c:numCache>
                <c:formatCode>0.0000</c:formatCode>
                <c:ptCount val="51"/>
                <c:pt idx="0">
                  <c:v>4.0264504236289244E-5</c:v>
                </c:pt>
                <c:pt idx="1">
                  <c:v>8.7831720998003346E-5</c:v>
                </c:pt>
                <c:pt idx="2">
                  <c:v>1.9158258272128215E-4</c:v>
                </c:pt>
                <c:pt idx="3">
                  <c:v>4.1783751344338444E-4</c:v>
                </c:pt>
                <c:pt idx="4">
                  <c:v>9.1105119440064539E-4</c:v>
                </c:pt>
                <c:pt idx="5">
                  <c:v>1.9852959767385804E-3</c:v>
                </c:pt>
                <c:pt idx="6">
                  <c:v>4.3207335199119202E-3</c:v>
                </c:pt>
                <c:pt idx="7">
                  <c:v>9.3776888626768556E-3</c:v>
                </c:pt>
                <c:pt idx="8">
                  <c:v>2.0232997095785403E-2</c:v>
                </c:pt>
                <c:pt idx="9">
                  <c:v>4.3107254941086137E-2</c:v>
                </c:pt>
                <c:pt idx="10">
                  <c:v>8.9480059333561401E-2</c:v>
                </c:pt>
                <c:pt idx="11">
                  <c:v>0.17653527477911671</c:v>
                </c:pt>
                <c:pt idx="12">
                  <c:v>0.31864626621097453</c:v>
                </c:pt>
                <c:pt idx="13">
                  <c:v>0.50499983333999987</c:v>
                </c:pt>
                <c:pt idx="14">
                  <c:v>0.68997448112761262</c:v>
                </c:pt>
                <c:pt idx="15">
                  <c:v>0.82920451797762551</c:v>
                </c:pt>
                <c:pt idx="16">
                  <c:v>0.91372580550408322</c:v>
                </c:pt>
                <c:pt idx="17">
                  <c:v>0.9585128806983042</c:v>
                </c:pt>
                <c:pt idx="18">
                  <c:v>0.980544915431807</c:v>
                </c:pt>
                <c:pt idx="19">
                  <c:v>0.99098670134715217</c:v>
                </c:pt>
                <c:pt idx="20">
                  <c:v>0.99584798143639941</c:v>
                </c:pt>
                <c:pt idx="21">
                  <c:v>0.99809240009566613</c:v>
                </c:pt>
                <c:pt idx="22">
                  <c:v>0.99912464036357074</c:v>
                </c:pt>
                <c:pt idx="23">
                  <c:v>0.99959853955241718</c:v>
                </c:pt>
                <c:pt idx="24">
                  <c:v>0.99981592809503661</c:v>
                </c:pt>
                <c:pt idx="25">
                  <c:v>0.9999156119194158</c:v>
                </c:pt>
                <c:pt idx="26">
                  <c:v>0.99996131422848022</c:v>
                </c:pt>
                <c:pt idx="27">
                  <c:v>0.99998226583821748</c:v>
                </c:pt>
                <c:pt idx="28">
                  <c:v>0.99999187047555171</c:v>
                </c:pt>
                <c:pt idx="29">
                  <c:v>0.99999627336071584</c:v>
                </c:pt>
                <c:pt idx="30">
                  <c:v>0.99999829168270227</c:v>
                </c:pt>
                <c:pt idx="31">
                  <c:v>0.99999921689635696</c:v>
                </c:pt>
                <c:pt idx="32">
                  <c:v>0.99999964102043026</c:v>
                </c:pt>
                <c:pt idx="33">
                  <c:v>0.99999983544157534</c:v>
                </c:pt>
                <c:pt idx="34">
                  <c:v>0.99999992456542219</c:v>
                </c:pt>
                <c:pt idx="35">
                  <c:v>0.99999996542033465</c:v>
                </c:pt>
                <c:pt idx="36">
                  <c:v>0.99999998414847324</c:v>
                </c:pt>
                <c:pt idx="37">
                  <c:v>0.99999999273356477</c:v>
                </c:pt>
                <c:pt idx="38">
                  <c:v>0.9999999966690224</c:v>
                </c:pt>
                <c:pt idx="39">
                  <c:v>0.99999999847305987</c:v>
                </c:pt>
                <c:pt idx="40">
                  <c:v>0.99999999930004146</c:v>
                </c:pt>
                <c:pt idx="41">
                  <c:v>0.99999999967913478</c:v>
                </c:pt>
                <c:pt idx="42">
                  <c:v>0.99999999985291343</c:v>
                </c:pt>
                <c:pt idx="43">
                  <c:v>0.9999999999325746</c:v>
                </c:pt>
                <c:pt idx="44">
                  <c:v>0.99999999996909184</c:v>
                </c:pt>
                <c:pt idx="45">
                  <c:v>0.99999999998583156</c:v>
                </c:pt>
                <c:pt idx="46">
                  <c:v>0.99999999999350508</c:v>
                </c:pt>
                <c:pt idx="47">
                  <c:v>0.99999999999702271</c:v>
                </c:pt>
                <c:pt idx="48">
                  <c:v>0.9999999999986352</c:v>
                </c:pt>
                <c:pt idx="49">
                  <c:v>0.99999999999937439</c:v>
                </c:pt>
                <c:pt idx="50">
                  <c:v>0.99999999999971323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3F-BB49-A739-B6A3A9BECDE3}"/>
            </c:ext>
          </c:extLst>
        </c:ser>
        <c:ser>
          <c:idx val="1"/>
          <c:order val="1"/>
          <c:tx>
            <c:strRef>
              <c:f>'Cancer model sigmoid'!$D$3</c:f>
              <c:strCache>
                <c:ptCount val="1"/>
                <c:pt idx="0">
                  <c:v>Mallignant?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</c:marker>
          <c:dPt>
            <c:idx val="0"/>
            <c:marker>
              <c:spPr>
                <a:solidFill>
                  <a:srgbClr val="00B05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93F-BB49-A739-B6A3A9BECDE3}"/>
              </c:ext>
            </c:extLst>
          </c:dPt>
          <c:dPt>
            <c:idx val="1"/>
            <c:marker>
              <c:spPr>
                <a:solidFill>
                  <a:srgbClr val="00B05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93F-BB49-A739-B6A3A9BECDE3}"/>
              </c:ext>
            </c:extLst>
          </c:dPt>
          <c:dPt>
            <c:idx val="2"/>
            <c:marker>
              <c:spPr>
                <a:solidFill>
                  <a:srgbClr val="00B05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93F-BB49-A739-B6A3A9BECDE3}"/>
              </c:ext>
            </c:extLst>
          </c:dPt>
          <c:dPt>
            <c:idx val="3"/>
            <c:marker>
              <c:spPr>
                <a:solidFill>
                  <a:srgbClr val="00B05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693F-BB49-A739-B6A3A9BECDE3}"/>
              </c:ext>
            </c:extLst>
          </c:dPt>
          <c:dPt>
            <c:idx val="6"/>
            <c:marker>
              <c:spPr>
                <a:solidFill>
                  <a:srgbClr val="00B05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693F-BB49-A739-B6A3A9BECDE3}"/>
              </c:ext>
            </c:extLst>
          </c:dPt>
          <c:errBars>
            <c:errDir val="y"/>
            <c:errBarType val="plus"/>
            <c:errValType val="cust"/>
            <c:noEndCap val="1"/>
            <c:plus>
              <c:numRef>
                <c:f>'Cancer model sigmoid'!$M$4:$M$17</c:f>
                <c:numCache>
                  <c:formatCode>General</c:formatCode>
                  <c:ptCount val="14"/>
                  <c:pt idx="0">
                    <c:v>4.3207335199119202E-3</c:v>
                  </c:pt>
                  <c:pt idx="1">
                    <c:v>2.0232997095785403E-2</c:v>
                  </c:pt>
                  <c:pt idx="2">
                    <c:v>8.9480059333561401E-2</c:v>
                  </c:pt>
                  <c:pt idx="3">
                    <c:v>0.31864626621097453</c:v>
                  </c:pt>
                  <c:pt idx="4">
                    <c:v>-0.38036482959282192</c:v>
                  </c:pt>
                  <c:pt idx="5">
                    <c:v>-8.6274194495916667E-2</c:v>
                  </c:pt>
                  <c:pt idx="6">
                    <c:v>0.7525017852138598</c:v>
                  </c:pt>
                  <c:pt idx="7">
                    <c:v>-4.1520185636007012E-3</c:v>
                  </c:pt>
                  <c:pt idx="8">
                    <c:v>-8.7535963642937364E-4</c:v>
                  </c:pt>
                  <c:pt idx="9">
                    <c:v>-1.8407190496338988E-4</c:v>
                  </c:pt>
                  <c:pt idx="10">
                    <c:v>-3.8685771519775258E-5</c:v>
                  </c:pt>
                  <c:pt idx="11">
                    <c:v>-8.1295244483969853E-6</c:v>
                  </c:pt>
                  <c:pt idx="12">
                    <c:v>-1.7083172978438199E-6</c:v>
                  </c:pt>
                  <c:pt idx="13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errBars>
            <c:errDir val="x"/>
            <c:errBarType val="both"/>
            <c:errValType val="fixedVal"/>
            <c:noEndCap val="0"/>
            <c:val val="1"/>
          </c:errBars>
          <c:xVal>
            <c:numRef>
              <c:f>'Cancer model sigmoid'!$B$4:$B$16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4.8</c:v>
                </c:pt>
                <c:pt idx="5">
                  <c:v>6</c:v>
                </c:pt>
                <c:pt idx="6">
                  <c:v>5.2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'Cancer model sigmoid'!$D$4:$D$16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93F-BB49-A739-B6A3A9BECDE3}"/>
            </c:ext>
          </c:extLst>
        </c:ser>
        <c:ser>
          <c:idx val="2"/>
          <c:order val="2"/>
          <c:tx>
            <c:strRef>
              <c:f>'Cancer model sigmoid'!$F$3</c:f>
              <c:strCache>
                <c:ptCount val="1"/>
                <c:pt idx="0">
                  <c:v>Model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3"/>
            <c:spPr>
              <a:solidFill>
                <a:schemeClr val="tx2">
                  <a:lumMod val="60000"/>
                  <a:lumOff val="40000"/>
                </a:schemeClr>
              </a:solidFill>
            </c:spPr>
          </c:marker>
          <c:xVal>
            <c:numRef>
              <c:f>'Cancer model sigmoid'!$B$4:$B$16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4.8</c:v>
                </c:pt>
                <c:pt idx="5">
                  <c:v>6</c:v>
                </c:pt>
                <c:pt idx="6">
                  <c:v>5.2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'Cancer model sigmoid'!$F$4:$F$16</c:f>
              <c:numCache>
                <c:formatCode>0.00</c:formatCode>
                <c:ptCount val="13"/>
                <c:pt idx="0">
                  <c:v>4.3207335199119202E-3</c:v>
                </c:pt>
                <c:pt idx="1">
                  <c:v>2.0232997095785403E-2</c:v>
                </c:pt>
                <c:pt idx="2">
                  <c:v>8.9480059333561401E-2</c:v>
                </c:pt>
                <c:pt idx="3">
                  <c:v>0.31864626621097453</c:v>
                </c:pt>
                <c:pt idx="4">
                  <c:v>0.61963517040717808</c:v>
                </c:pt>
                <c:pt idx="5">
                  <c:v>0.91372580550408333</c:v>
                </c:pt>
                <c:pt idx="6">
                  <c:v>0.7525017852138598</c:v>
                </c:pt>
                <c:pt idx="7">
                  <c:v>0.9958479814363993</c:v>
                </c:pt>
                <c:pt idx="8">
                  <c:v>0.99912464036357063</c:v>
                </c:pt>
                <c:pt idx="9">
                  <c:v>0.99981592809503661</c:v>
                </c:pt>
                <c:pt idx="10">
                  <c:v>0.99996131422848022</c:v>
                </c:pt>
                <c:pt idx="11">
                  <c:v>0.9999918704755516</c:v>
                </c:pt>
                <c:pt idx="12">
                  <c:v>0.99999829168270216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93F-BB49-A739-B6A3A9BEC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421440"/>
        <c:axId val="293423744"/>
      </c:scatterChart>
      <c:valAx>
        <c:axId val="293421440"/>
        <c:scaling>
          <c:orientation val="minMax"/>
          <c:max val="14"/>
        </c:scaling>
        <c:delete val="0"/>
        <c:axPos val="b"/>
        <c:title>
          <c:tx>
            <c:rich>
              <a:bodyPr/>
              <a:lstStyle/>
              <a:p>
                <a:pPr>
                  <a:defRPr sz="2400"/>
                </a:pPr>
                <a:r>
                  <a:rPr lang="en-US" sz="2400"/>
                  <a:t>X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293423744"/>
        <c:crosses val="autoZero"/>
        <c:crossBetween val="midCat"/>
        <c:majorUnit val="1"/>
        <c:minorUnit val="0.5"/>
      </c:valAx>
      <c:valAx>
        <c:axId val="293423744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sz="2800"/>
                </a:pPr>
                <a:r>
                  <a:rPr lang="en-US" sz="2800"/>
                  <a:t>Y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9342144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0"/>
      <c:rotY val="9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1.9039163231135203E-2"/>
          <c:y val="2.680398731219891E-2"/>
          <c:w val="0.94147573396653217"/>
          <c:h val="0.91271566923664471"/>
        </c:manualLayout>
      </c:layout>
      <c:surface3DChart>
        <c:wireframe val="0"/>
        <c:ser>
          <c:idx val="0"/>
          <c:order val="0"/>
          <c:val>
            <c:numRef>
              <c:f>'Parameter Search'!$P$27:$P$57</c:f>
              <c:numCache>
                <c:formatCode>0.00</c:formatCode>
                <c:ptCount val="3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7.9999999999999911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AB-0244-A70A-0201A5EE8F9B}"/>
            </c:ext>
          </c:extLst>
        </c:ser>
        <c:ser>
          <c:idx val="1"/>
          <c:order val="1"/>
          <c:val>
            <c:numRef>
              <c:f>'Parameter Search'!$Q$27:$Q$57</c:f>
              <c:numCache>
                <c:formatCode>0.00</c:formatCode>
                <c:ptCount val="3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7.9999999999999982</c:v>
                </c:pt>
                <c:pt idx="28">
                  <c:v>7.9999999999999156</c:v>
                </c:pt>
                <c:pt idx="29">
                  <c:v>7.9999999999958451</c:v>
                </c:pt>
                <c:pt idx="30">
                  <c:v>7.9999999997947375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AB-0244-A70A-0201A5EE8F9B}"/>
            </c:ext>
          </c:extLst>
        </c:ser>
        <c:ser>
          <c:idx val="2"/>
          <c:order val="2"/>
          <c:val>
            <c:numRef>
              <c:f>'Parameter Search'!$R$27:$R$57</c:f>
              <c:numCache>
                <c:formatCode>0.00</c:formatCode>
                <c:ptCount val="3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7.9999999999999849</c:v>
                </c:pt>
                <c:pt idx="26">
                  <c:v>7.9999999999992415</c:v>
                </c:pt>
                <c:pt idx="27">
                  <c:v>7.9999999999624949</c:v>
                </c:pt>
                <c:pt idx="28">
                  <c:v>7.9999999981473113</c:v>
                </c:pt>
                <c:pt idx="29">
                  <c:v>7.9999999084779843</c:v>
                </c:pt>
                <c:pt idx="30">
                  <c:v>7.9999954787985503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AB-0244-A70A-0201A5EE8F9B}"/>
            </c:ext>
          </c:extLst>
        </c:ser>
        <c:ser>
          <c:idx val="3"/>
          <c:order val="3"/>
          <c:val>
            <c:numRef>
              <c:f>'Parameter Search'!$S$27:$S$57</c:f>
              <c:numCache>
                <c:formatCode>0.00</c:formatCode>
                <c:ptCount val="3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7.9999999999999973</c:v>
                </c:pt>
                <c:pt idx="23">
                  <c:v>7.9999999999998614</c:v>
                </c:pt>
                <c:pt idx="24">
                  <c:v>7.999999999993145</c:v>
                </c:pt>
                <c:pt idx="25">
                  <c:v>7.9999999996614335</c:v>
                </c:pt>
                <c:pt idx="26">
                  <c:v>7.9999999832763677</c:v>
                </c:pt>
                <c:pt idx="27">
                  <c:v>7.9999991738998748</c:v>
                </c:pt>
                <c:pt idx="28">
                  <c:v>7.9999591930651359</c:v>
                </c:pt>
                <c:pt idx="29">
                  <c:v>7.997987136125948</c:v>
                </c:pt>
                <c:pt idx="30">
                  <c:v>7.9073851772633681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AB-0244-A70A-0201A5EE8F9B}"/>
            </c:ext>
          </c:extLst>
        </c:ser>
        <c:ser>
          <c:idx val="4"/>
          <c:order val="4"/>
          <c:val>
            <c:numRef>
              <c:f>'Parameter Search'!$T$27:$T$57</c:f>
              <c:numCache>
                <c:formatCode>0.00</c:formatCode>
                <c:ptCount val="3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7.9999999999999751</c:v>
                </c:pt>
                <c:pt idx="21">
                  <c:v>7.9999999999987468</c:v>
                </c:pt>
                <c:pt idx="22">
                  <c:v>7.9999999999380993</c:v>
                </c:pt>
                <c:pt idx="23">
                  <c:v>7.9999999969430391</c:v>
                </c:pt>
                <c:pt idx="24">
                  <c:v>7.9999998490181286</c:v>
                </c:pt>
                <c:pt idx="25">
                  <c:v>7.9999925426107312</c:v>
                </c:pt>
                <c:pt idx="26">
                  <c:v>7.9996317391415479</c:v>
                </c:pt>
                <c:pt idx="27">
                  <c:v>7.982049119048118</c:v>
                </c:pt>
                <c:pt idx="28">
                  <c:v>7.4758626909752648</c:v>
                </c:pt>
                <c:pt idx="29">
                  <c:v>6.9945020970259346</c:v>
                </c:pt>
                <c:pt idx="30">
                  <c:v>6.7757709159010799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AB-0244-A70A-0201A5EE8F9B}"/>
            </c:ext>
          </c:extLst>
        </c:ser>
        <c:ser>
          <c:idx val="5"/>
          <c:order val="5"/>
          <c:val>
            <c:numRef>
              <c:f>'Parameter Search'!$U$27:$U$57</c:f>
              <c:numCache>
                <c:formatCode>0.00</c:formatCode>
                <c:ptCount val="3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7.9999999999999956</c:v>
                </c:pt>
                <c:pt idx="18">
                  <c:v>7.9999999999997708</c:v>
                </c:pt>
                <c:pt idx="19">
                  <c:v>7.9999999999886704</c:v>
                </c:pt>
                <c:pt idx="20">
                  <c:v>7.9999999994407203</c:v>
                </c:pt>
                <c:pt idx="21">
                  <c:v>7.9999999723879851</c:v>
                </c:pt>
                <c:pt idx="22">
                  <c:v>7.9999986365503259</c:v>
                </c:pt>
                <c:pt idx="23">
                  <c:v>7.9999326693447612</c:v>
                </c:pt>
                <c:pt idx="24">
                  <c:v>7.9966826666214761</c:v>
                </c:pt>
                <c:pt idx="25">
                  <c:v>7.8539472595094413</c:v>
                </c:pt>
                <c:pt idx="26">
                  <c:v>7.0358150012534812</c:v>
                </c:pt>
                <c:pt idx="27">
                  <c:v>6.8886254518084886</c:v>
                </c:pt>
                <c:pt idx="28">
                  <c:v>6.0951154554250477</c:v>
                </c:pt>
                <c:pt idx="29">
                  <c:v>5.9735479514562568</c:v>
                </c:pt>
                <c:pt idx="30">
                  <c:v>5.5343559529648205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AB-0244-A70A-0201A5EE8F9B}"/>
            </c:ext>
          </c:extLst>
        </c:ser>
        <c:ser>
          <c:idx val="6"/>
          <c:order val="6"/>
          <c:val>
            <c:numRef>
              <c:f>'Parameter Search'!$V$27:$V$57</c:f>
              <c:numCache>
                <c:formatCode>0.00</c:formatCode>
                <c:ptCount val="3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7.9999999999999991</c:v>
                </c:pt>
                <c:pt idx="15">
                  <c:v>7.9999999999999583</c:v>
                </c:pt>
                <c:pt idx="16">
                  <c:v>7.9999999999979199</c:v>
                </c:pt>
                <c:pt idx="17">
                  <c:v>7.9999999998974562</c:v>
                </c:pt>
                <c:pt idx="18">
                  <c:v>7.9999999949421587</c:v>
                </c:pt>
                <c:pt idx="19">
                  <c:v>7.9999997504237674</c:v>
                </c:pt>
                <c:pt idx="20">
                  <c:v>7.9999876811528967</c:v>
                </c:pt>
                <c:pt idx="21">
                  <c:v>7.9993920811893933</c:v>
                </c:pt>
                <c:pt idx="22">
                  <c:v>7.9706293552902228</c:v>
                </c:pt>
                <c:pt idx="23">
                  <c:v>7.328491197699325</c:v>
                </c:pt>
                <c:pt idx="24">
                  <c:v>6.9481799847397712</c:v>
                </c:pt>
                <c:pt idx="25">
                  <c:v>6.2488944417116752</c:v>
                </c:pt>
                <c:pt idx="26">
                  <c:v>5.9713653154700781</c:v>
                </c:pt>
                <c:pt idx="27">
                  <c:v>5.5052029029739202</c:v>
                </c:pt>
                <c:pt idx="28">
                  <c:v>5.001977450379715</c:v>
                </c:pt>
                <c:pt idx="29">
                  <c:v>4.9073919978363838</c:v>
                </c:pt>
                <c:pt idx="30">
                  <c:v>4.2497532108405114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3AB-0244-A70A-0201A5EE8F9B}"/>
            </c:ext>
          </c:extLst>
        </c:ser>
        <c:ser>
          <c:idx val="7"/>
          <c:order val="7"/>
          <c:val>
            <c:numRef>
              <c:f>'Parameter Search'!$W$27:$W$57</c:f>
              <c:numCache>
                <c:formatCode>0.00</c:formatCode>
                <c:ptCount val="3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7.9999999999999929</c:v>
                </c:pt>
                <c:pt idx="13">
                  <c:v>7.9999999999996163</c:v>
                </c:pt>
                <c:pt idx="14">
                  <c:v>7.9999999999810978</c:v>
                </c:pt>
                <c:pt idx="15">
                  <c:v>7.9999999990698551</c:v>
                </c:pt>
                <c:pt idx="16">
                  <c:v>7.9999999541820115</c:v>
                </c:pt>
                <c:pt idx="17">
                  <c:v>7.9999977413405521</c:v>
                </c:pt>
                <c:pt idx="18">
                  <c:v>7.9998886028493716</c:v>
                </c:pt>
                <c:pt idx="19">
                  <c:v>7.9945251486154154</c:v>
                </c:pt>
                <c:pt idx="20">
                  <c:v>7.7751312375852439</c:v>
                </c:pt>
                <c:pt idx="21">
                  <c:v>6.9927732727655663</c:v>
                </c:pt>
                <c:pt idx="22">
                  <c:v>6.4748508445783468</c:v>
                </c:pt>
                <c:pt idx="23">
                  <c:v>5.9709134013784215</c:v>
                </c:pt>
                <c:pt idx="24">
                  <c:v>5.4753964471516117</c:v>
                </c:pt>
                <c:pt idx="25">
                  <c:v>4.9924061005550389</c:v>
                </c:pt>
                <c:pt idx="26">
                  <c:v>4.7757016639971974</c:v>
                </c:pt>
                <c:pt idx="27">
                  <c:v>4.0706808299951209</c:v>
                </c:pt>
                <c:pt idx="28">
                  <c:v>3.976208211209824</c:v>
                </c:pt>
                <c:pt idx="29">
                  <c:v>3.7148689557751489</c:v>
                </c:pt>
                <c:pt idx="30">
                  <c:v>3.0716589023780374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AB-0244-A70A-0201A5EE8F9B}"/>
            </c:ext>
          </c:extLst>
        </c:ser>
        <c:ser>
          <c:idx val="8"/>
          <c:order val="8"/>
          <c:val>
            <c:numRef>
              <c:f>'Parameter Search'!$X$27:$X$57</c:f>
              <c:numCache>
                <c:formatCode>0.00</c:formatCode>
                <c:ptCount val="3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7.9999999999999982</c:v>
                </c:pt>
                <c:pt idx="10">
                  <c:v>7.9999999999999272</c:v>
                </c:pt>
                <c:pt idx="11">
                  <c:v>7.9999999999964686</c:v>
                </c:pt>
                <c:pt idx="12">
                  <c:v>7.9999999998272457</c:v>
                </c:pt>
                <c:pt idx="13">
                  <c:v>7.9999999915271873</c:v>
                </c:pt>
                <c:pt idx="14">
                  <c:v>7.9999995836518281</c:v>
                </c:pt>
                <c:pt idx="15">
                  <c:v>7.9999795125219499</c:v>
                </c:pt>
                <c:pt idx="16">
                  <c:v>7.9989915425080564</c:v>
                </c:pt>
                <c:pt idx="17">
                  <c:v>7.9520248230901336</c:v>
                </c:pt>
                <c:pt idx="18">
                  <c:v>7.191656875403825</c:v>
                </c:pt>
                <c:pt idx="19">
                  <c:v>6.6911661191419851</c:v>
                </c:pt>
                <c:pt idx="20">
                  <c:v>5.9784695135982924</c:v>
                </c:pt>
                <c:pt idx="21">
                  <c:v>5.4446638450424985</c:v>
                </c:pt>
                <c:pt idx="22">
                  <c:v>4.9690813172519972</c:v>
                </c:pt>
                <c:pt idx="23">
                  <c:v>4.5337122868132047</c:v>
                </c:pt>
                <c:pt idx="24">
                  <c:v>4.0032586113711073</c:v>
                </c:pt>
                <c:pt idx="25">
                  <c:v>3.8539921039968053</c:v>
                </c:pt>
                <c:pt idx="26">
                  <c:v>3.2016493902542824</c:v>
                </c:pt>
                <c:pt idx="27">
                  <c:v>2.9917774950805684</c:v>
                </c:pt>
                <c:pt idx="28">
                  <c:v>2.8886512768179333</c:v>
                </c:pt>
                <c:pt idx="29">
                  <c:v>2.358426938890779</c:v>
                </c:pt>
                <c:pt idx="30">
                  <c:v>2.0142091117994609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3AB-0244-A70A-0201A5EE8F9B}"/>
            </c:ext>
          </c:extLst>
        </c:ser>
        <c:ser>
          <c:idx val="9"/>
          <c:order val="9"/>
          <c:val>
            <c:numRef>
              <c:f>'Parameter Search'!$Y$27:$Y$57</c:f>
              <c:numCache>
                <c:formatCode>0.00</c:formatCode>
                <c:ptCount val="3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7.9999999999999858</c:v>
                </c:pt>
                <c:pt idx="8">
                  <c:v>7.9999999999993161</c:v>
                </c:pt>
                <c:pt idx="9">
                  <c:v>7.9999999999670903</c:v>
                </c:pt>
                <c:pt idx="10">
                  <c:v>7.9999999984040295</c:v>
                </c:pt>
                <c:pt idx="11">
                  <c:v>7.999999922211507</c:v>
                </c:pt>
                <c:pt idx="12">
                  <c:v>7.9999961948363731</c:v>
                </c:pt>
                <c:pt idx="13">
                  <c:v>7.999813398949799</c:v>
                </c:pt>
                <c:pt idx="14">
                  <c:v>7.9908901642543544</c:v>
                </c:pt>
                <c:pt idx="15">
                  <c:v>7.6634332023748968</c:v>
                </c:pt>
                <c:pt idx="16">
                  <c:v>6.8459861105132358</c:v>
                </c:pt>
                <c:pt idx="17">
                  <c:v>6.0140488738874538</c:v>
                </c:pt>
                <c:pt idx="18">
                  <c:v>5.4119770705441415</c:v>
                </c:pt>
                <c:pt idx="19">
                  <c:v>4.9110289580274546</c:v>
                </c:pt>
                <c:pt idx="20">
                  <c:v>4.2450546930678907</c:v>
                </c:pt>
                <c:pt idx="21">
                  <c:v>3.9322367085942607</c:v>
                </c:pt>
                <c:pt idx="22">
                  <c:v>3.4153866757701135</c:v>
                </c:pt>
                <c:pt idx="23">
                  <c:v>2.9956436001491085</c:v>
                </c:pt>
                <c:pt idx="24">
                  <c:v>2.840638830853687</c:v>
                </c:pt>
                <c:pt idx="25">
                  <c:v>2.2499996934215809</c:v>
                </c:pt>
                <c:pt idx="26">
                  <c:v>2.0069139961149678</c:v>
                </c:pt>
                <c:pt idx="27">
                  <c:v>2.0000442301838612</c:v>
                </c:pt>
                <c:pt idx="28">
                  <c:v>1.9998650823864115</c:v>
                </c:pt>
                <c:pt idx="29">
                  <c:v>1.9991809014898023</c:v>
                </c:pt>
                <c:pt idx="30">
                  <c:v>1.9950602557854893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3AB-0244-A70A-0201A5EE8F9B}"/>
            </c:ext>
          </c:extLst>
        </c:ser>
        <c:ser>
          <c:idx val="10"/>
          <c:order val="10"/>
          <c:val>
            <c:numRef>
              <c:f>'Parameter Search'!$Z$27:$Z$57</c:f>
              <c:numCache>
                <c:formatCode>0.00</c:formatCode>
                <c:ptCount val="3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7.9999999999999964</c:v>
                </c:pt>
                <c:pt idx="5">
                  <c:v>7.9999999999998543</c:v>
                </c:pt>
                <c:pt idx="6">
                  <c:v>7.9999999999932818</c:v>
                </c:pt>
                <c:pt idx="7">
                  <c:v>7.9999999996842988</c:v>
                </c:pt>
                <c:pt idx="8">
                  <c:v>7.9999999849479764</c:v>
                </c:pt>
                <c:pt idx="9">
                  <c:v>7.9999992751368838</c:v>
                </c:pt>
                <c:pt idx="10">
                  <c:v>7.9999648472433389</c:v>
                </c:pt>
                <c:pt idx="11">
                  <c:v>7.9982886372611697</c:v>
                </c:pt>
                <c:pt idx="12">
                  <c:v>7.9209161019927983</c:v>
                </c:pt>
                <c:pt idx="13">
                  <c:v>7.0316196006852829</c:v>
                </c:pt>
                <c:pt idx="14">
                  <c:v>6.1171860811118322</c:v>
                </c:pt>
                <c:pt idx="15">
                  <c:v>5.3742869064205783</c:v>
                </c:pt>
                <c:pt idx="16">
                  <c:v>4.7768476364304195</c:v>
                </c:pt>
                <c:pt idx="17">
                  <c:v>4.039793213286333</c:v>
                </c:pt>
                <c:pt idx="18">
                  <c:v>3.6415986216785972</c:v>
                </c:pt>
                <c:pt idx="19">
                  <c:v>3.02175743765729</c:v>
                </c:pt>
                <c:pt idx="20">
                  <c:v>2.7761253312064875</c:v>
                </c:pt>
                <c:pt idx="21">
                  <c:v>2.161043026261904</c:v>
                </c:pt>
                <c:pt idx="22">
                  <c:v>2.0032251229981672</c:v>
                </c:pt>
                <c:pt idx="23">
                  <c:v>1.9996616185009266</c:v>
                </c:pt>
                <c:pt idx="24">
                  <c:v>1.9977747528173186</c:v>
                </c:pt>
                <c:pt idx="25">
                  <c:v>1.9866516412150999</c:v>
                </c:pt>
                <c:pt idx="26">
                  <c:v>1.9231691059798073</c:v>
                </c:pt>
                <c:pt idx="27">
                  <c:v>1.6433493098120049</c:v>
                </c:pt>
                <c:pt idx="28">
                  <c:v>1.1603811188045141</c:v>
                </c:pt>
                <c:pt idx="29">
                  <c:v>1.0069523026625411</c:v>
                </c:pt>
                <c:pt idx="30">
                  <c:v>0.98702739040791154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AB-0244-A70A-0201A5EE8F9B}"/>
            </c:ext>
          </c:extLst>
        </c:ser>
        <c:ser>
          <c:idx val="11"/>
          <c:order val="11"/>
          <c:val>
            <c:numRef>
              <c:f>'Parameter Search'!$AA$27:$AA$57</c:f>
              <c:numCache>
                <c:formatCode>0.00</c:formatCode>
                <c:ptCount val="31"/>
                <c:pt idx="0">
                  <c:v>8</c:v>
                </c:pt>
                <c:pt idx="1">
                  <c:v>8</c:v>
                </c:pt>
                <c:pt idx="2">
                  <c:v>7.9999999999999547</c:v>
                </c:pt>
                <c:pt idx="3">
                  <c:v>7.9999999999982787</c:v>
                </c:pt>
                <c:pt idx="4">
                  <c:v>7.9999999999276143</c:v>
                </c:pt>
                <c:pt idx="5">
                  <c:v>7.9999999967818773</c:v>
                </c:pt>
                <c:pt idx="6">
                  <c:v>7.9999998520199629</c:v>
                </c:pt>
                <c:pt idx="7">
                  <c:v>7.9999930462619337</c:v>
                </c:pt>
                <c:pt idx="8">
                  <c:v>7.9996685258236271</c:v>
                </c:pt>
                <c:pt idx="9">
                  <c:v>7.9841992924119509</c:v>
                </c:pt>
                <c:pt idx="10">
                  <c:v>7.4968809168627129</c:v>
                </c:pt>
                <c:pt idx="11">
                  <c:v>6.3115839591832721</c:v>
                </c:pt>
                <c:pt idx="12">
                  <c:v>5.3232856689541421</c:v>
                </c:pt>
                <c:pt idx="13">
                  <c:v>4.5221379059458267</c:v>
                </c:pt>
                <c:pt idx="14">
                  <c:v>3.8213470123034488</c:v>
                </c:pt>
                <c:pt idx="15">
                  <c:v>3.1069282694138458</c:v>
                </c:pt>
                <c:pt idx="16">
                  <c:v>2.6937610866089017</c:v>
                </c:pt>
                <c:pt idx="17">
                  <c:v>2.0959568499427808</c:v>
                </c:pt>
                <c:pt idx="18">
                  <c:v>2.0005293150739614</c:v>
                </c:pt>
                <c:pt idx="19">
                  <c:v>1.9939655921876895</c:v>
                </c:pt>
                <c:pt idx="20">
                  <c:v>1.96426040466956</c:v>
                </c:pt>
                <c:pt idx="21">
                  <c:v>1.8100424115754306</c:v>
                </c:pt>
                <c:pt idx="22">
                  <c:v>1.3566064720198439</c:v>
                </c:pt>
                <c:pt idx="23">
                  <c:v>1.0310240705730904</c:v>
                </c:pt>
                <c:pt idx="24">
                  <c:v>0.9662085416025904</c:v>
                </c:pt>
                <c:pt idx="25">
                  <c:v>0.8598373632242472</c:v>
                </c:pt>
                <c:pt idx="26">
                  <c:v>0.6067773939670793</c:v>
                </c:pt>
                <c:pt idx="27">
                  <c:v>0.52999285968044618</c:v>
                </c:pt>
                <c:pt idx="28">
                  <c:v>0.79001558174022879</c:v>
                </c:pt>
                <c:pt idx="29">
                  <c:v>0.94312405174229264</c:v>
                </c:pt>
                <c:pt idx="30">
                  <c:v>0.98702739041302068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3AB-0244-A70A-0201A5EE8F9B}"/>
            </c:ext>
          </c:extLst>
        </c:ser>
        <c:ser>
          <c:idx val="12"/>
          <c:order val="12"/>
          <c:val>
            <c:numRef>
              <c:f>'Parameter Search'!$AB$27:$AB$57</c:f>
              <c:numCache>
                <c:formatCode>0.00</c:formatCode>
                <c:ptCount val="31"/>
                <c:pt idx="0">
                  <c:v>7.9999999999985016</c:v>
                </c:pt>
                <c:pt idx="1">
                  <c:v>7.9999999999682521</c:v>
                </c:pt>
                <c:pt idx="2">
                  <c:v>7.9999999990046939</c:v>
                </c:pt>
                <c:pt idx="3">
                  <c:v>7.9999999620882836</c:v>
                </c:pt>
                <c:pt idx="4">
                  <c:v>7.999998405600385</c:v>
                </c:pt>
                <c:pt idx="5">
                  <c:v>7.9999291185207335</c:v>
                </c:pt>
                <c:pt idx="6">
                  <c:v>7.996746220157438</c:v>
                </c:pt>
                <c:pt idx="7">
                  <c:v>7.8594671272893342</c:v>
                </c:pt>
                <c:pt idx="8">
                  <c:v>6.5862946521902872</c:v>
                </c:pt>
                <c:pt idx="9">
                  <c:v>5.2372258464037911</c:v>
                </c:pt>
                <c:pt idx="10">
                  <c:v>4.1547007770659583</c:v>
                </c:pt>
                <c:pt idx="11">
                  <c:v>3.2796731173358049</c:v>
                </c:pt>
                <c:pt idx="12">
                  <c:v>2.5970922874779858</c:v>
                </c:pt>
                <c:pt idx="13">
                  <c:v>2.0508472480908675</c:v>
                </c:pt>
                <c:pt idx="14">
                  <c:v>1.9842022944157565</c:v>
                </c:pt>
                <c:pt idx="15">
                  <c:v>1.9062986356074556</c:v>
                </c:pt>
                <c:pt idx="16">
                  <c:v>1.5856973752316497</c:v>
                </c:pt>
                <c:pt idx="17">
                  <c:v>1.1038269988759672</c:v>
                </c:pt>
                <c:pt idx="18">
                  <c:v>0.91656442852728326</c:v>
                </c:pt>
                <c:pt idx="19">
                  <c:v>0.70192592443709889</c:v>
                </c:pt>
                <c:pt idx="20">
                  <c:v>0.50001222776830079</c:v>
                </c:pt>
                <c:pt idx="21">
                  <c:v>0.7017738914008016</c:v>
                </c:pt>
                <c:pt idx="22">
                  <c:v>0.91035408657359529</c:v>
                </c:pt>
                <c:pt idx="23">
                  <c:v>0.98518524647982586</c:v>
                </c:pt>
                <c:pt idx="24">
                  <c:v>1.0486478078174888</c:v>
                </c:pt>
                <c:pt idx="25">
                  <c:v>1.2488953594190018</c:v>
                </c:pt>
                <c:pt idx="26">
                  <c:v>1.5903854297294482</c:v>
                </c:pt>
                <c:pt idx="27">
                  <c:v>1.8405283555292329</c:v>
                </c:pt>
                <c:pt idx="28">
                  <c:v>1.9475677522111483</c:v>
                </c:pt>
                <c:pt idx="29">
                  <c:v>1.9841323810938478</c:v>
                </c:pt>
                <c:pt idx="30">
                  <c:v>1.9973094692321443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3AB-0244-A70A-0201A5EE8F9B}"/>
            </c:ext>
          </c:extLst>
        </c:ser>
        <c:ser>
          <c:idx val="13"/>
          <c:order val="13"/>
          <c:val>
            <c:numRef>
              <c:f>'Parameter Search'!$AC$27:$AC$57</c:f>
              <c:numCache>
                <c:formatCode>0.00</c:formatCode>
                <c:ptCount val="31"/>
                <c:pt idx="0">
                  <c:v>7.9999999670215436</c:v>
                </c:pt>
                <c:pt idx="1">
                  <c:v>7.9999993007202947</c:v>
                </c:pt>
                <c:pt idx="2">
                  <c:v>7.9999780770300912</c:v>
                </c:pt>
                <c:pt idx="3">
                  <c:v>7.9991651607960916</c:v>
                </c:pt>
                <c:pt idx="4">
                  <c:v>7.9653708057153434</c:v>
                </c:pt>
                <c:pt idx="5">
                  <c:v>7.0884413947671163</c:v>
                </c:pt>
                <c:pt idx="6">
                  <c:v>5.056507628659479</c:v>
                </c:pt>
                <c:pt idx="7">
                  <c:v>3.558939946354549</c:v>
                </c:pt>
                <c:pt idx="8">
                  <c:v>2.4965835052277634</c:v>
                </c:pt>
                <c:pt idx="9">
                  <c:v>1.9821162672700612</c:v>
                </c:pt>
                <c:pt idx="10">
                  <c:v>1.7628318278013044</c:v>
                </c:pt>
                <c:pt idx="11">
                  <c:v>1.245415371648608</c:v>
                </c:pt>
                <c:pt idx="12">
                  <c:v>0.8182442586947517</c:v>
                </c:pt>
                <c:pt idx="13">
                  <c:v>0.53118273351436651</c:v>
                </c:pt>
                <c:pt idx="14">
                  <c:v>0.60834056009400816</c:v>
                </c:pt>
                <c:pt idx="15">
                  <c:v>0.87400498736982557</c:v>
                </c:pt>
                <c:pt idx="16">
                  <c:v>1.0608040071889011</c:v>
                </c:pt>
                <c:pt idx="17">
                  <c:v>1.3504010142292171</c:v>
                </c:pt>
                <c:pt idx="18">
                  <c:v>1.6909129510824679</c:v>
                </c:pt>
                <c:pt idx="19">
                  <c:v>1.8909509661787904</c:v>
                </c:pt>
                <c:pt idx="20">
                  <c:v>1.9784697412881704</c:v>
                </c:pt>
                <c:pt idx="21">
                  <c:v>2.0514076299321986</c:v>
                </c:pt>
                <c:pt idx="22">
                  <c:v>2.1993312965366778</c:v>
                </c:pt>
                <c:pt idx="23">
                  <c:v>2.4454778400945969</c:v>
                </c:pt>
                <c:pt idx="24">
                  <c:v>2.6919665437593139</c:v>
                </c:pt>
                <c:pt idx="25">
                  <c:v>2.8539920538046113</c:v>
                </c:pt>
                <c:pt idx="26">
                  <c:v>2.9365718075668767</c:v>
                </c:pt>
                <c:pt idx="27">
                  <c:v>2.9738759243506516</c:v>
                </c:pt>
                <c:pt idx="28">
                  <c:v>2.9905889740594853</c:v>
                </c:pt>
                <c:pt idx="29">
                  <c:v>3.0003086848601699</c:v>
                </c:pt>
                <c:pt idx="30">
                  <c:v>3.0123878394249388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3AB-0244-A70A-0201A5EE8F9B}"/>
            </c:ext>
          </c:extLst>
        </c:ser>
        <c:ser>
          <c:idx val="14"/>
          <c:order val="14"/>
          <c:val>
            <c:numRef>
              <c:f>'Parameter Search'!$AD$27:$AD$57</c:f>
              <c:numCache>
                <c:formatCode>0.00</c:formatCode>
                <c:ptCount val="31"/>
                <c:pt idx="0">
                  <c:v>7.9992736608933255</c:v>
                </c:pt>
                <c:pt idx="1">
                  <c:v>7.9846302341177822</c:v>
                </c:pt>
                <c:pt idx="2">
                  <c:v>7.5640080412065949</c:v>
                </c:pt>
                <c:pt idx="3">
                  <c:v>4.5474656953180084</c:v>
                </c:pt>
                <c:pt idx="4">
                  <c:v>2.3237921206721865</c:v>
                </c:pt>
                <c:pt idx="5">
                  <c:v>1.4096958628185099</c:v>
                </c:pt>
                <c:pt idx="6">
                  <c:v>0.70643119886460537</c:v>
                </c:pt>
                <c:pt idx="7">
                  <c:v>0.56358313766238299</c:v>
                </c:pt>
                <c:pt idx="8">
                  <c:v>0.95452794338503022</c:v>
                </c:pt>
                <c:pt idx="9">
                  <c:v>1.4361905480530799</c:v>
                </c:pt>
                <c:pt idx="10">
                  <c:v>1.8351613135847908</c:v>
                </c:pt>
                <c:pt idx="11">
                  <c:v>2.1468939346952971</c:v>
                </c:pt>
                <c:pt idx="12">
                  <c:v>2.4545733510799472</c:v>
                </c:pt>
                <c:pt idx="13">
                  <c:v>2.7173795685718316</c:v>
                </c:pt>
                <c:pt idx="14">
                  <c:v>2.8924729776359488</c:v>
                </c:pt>
                <c:pt idx="15">
                  <c:v>3.0139027584664335</c:v>
                </c:pt>
                <c:pt idx="16">
                  <c:v>3.1367682113526616</c:v>
                </c:pt>
                <c:pt idx="17">
                  <c:v>3.2924018920367226</c:v>
                </c:pt>
                <c:pt idx="18">
                  <c:v>3.4720988693901225</c:v>
                </c:pt>
                <c:pt idx="19">
                  <c:v>3.6420244909379802</c:v>
                </c:pt>
                <c:pt idx="20">
                  <c:v>3.7754547413442818</c:v>
                </c:pt>
                <c:pt idx="21">
                  <c:v>3.8668121697631781</c:v>
                </c:pt>
                <c:pt idx="22">
                  <c:v>3.9241344602394581</c:v>
                </c:pt>
                <c:pt idx="23">
                  <c:v>3.9585293497363123</c:v>
                </c:pt>
                <c:pt idx="24">
                  <c:v>3.9791579444889189</c:v>
                </c:pt>
                <c:pt idx="25">
                  <c:v>3.9924060984917928</c:v>
                </c:pt>
                <c:pt idx="26">
                  <c:v>4.0025922223809198</c:v>
                </c:pt>
                <c:pt idx="27">
                  <c:v>4.0128804438494505</c:v>
                </c:pt>
                <c:pt idx="28">
                  <c:v>4.0259934875879697</c:v>
                </c:pt>
                <c:pt idx="29">
                  <c:v>4.0446450652571304</c:v>
                </c:pt>
                <c:pt idx="30">
                  <c:v>4.0716588175183208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3AB-0244-A70A-0201A5EE8F9B}"/>
            </c:ext>
          </c:extLst>
        </c:ser>
        <c:ser>
          <c:idx val="15"/>
          <c:order val="15"/>
          <c:val>
            <c:numRef>
              <c:f>'Parameter Search'!$AE$27:$AE$57</c:f>
              <c:numCache>
                <c:formatCode>0.00</c:formatCode>
                <c:ptCount val="31"/>
                <c:pt idx="0">
                  <c:v>3.25</c:v>
                </c:pt>
                <c:pt idx="1">
                  <c:v>2.580263531264765</c:v>
                </c:pt>
                <c:pt idx="2">
                  <c:v>3.4949439162796887</c:v>
                </c:pt>
                <c:pt idx="3">
                  <c:v>4.045689558363236</c:v>
                </c:pt>
                <c:pt idx="4">
                  <c:v>4.3575250885020447</c:v>
                </c:pt>
                <c:pt idx="5">
                  <c:v>4.5479282555345639</c:v>
                </c:pt>
                <c:pt idx="6">
                  <c:v>4.6732224184847384</c:v>
                </c:pt>
                <c:pt idx="7">
                  <c:v>4.7602115115575572</c:v>
                </c:pt>
                <c:pt idx="8">
                  <c:v>4.8226745566210125</c:v>
                </c:pt>
                <c:pt idx="9">
                  <c:v>4.8683962599605026</c:v>
                </c:pt>
                <c:pt idx="10">
                  <c:v>4.902198660602056</c:v>
                </c:pt>
                <c:pt idx="11">
                  <c:v>4.927303557120303</c:v>
                </c:pt>
                <c:pt idx="12">
                  <c:v>4.9459799688067418</c:v>
                </c:pt>
                <c:pt idx="13">
                  <c:v>4.9598771296848385</c:v>
                </c:pt>
                <c:pt idx="14">
                  <c:v>4.9702137789845526</c:v>
                </c:pt>
                <c:pt idx="15">
                  <c:v>4.9778972810105575</c:v>
                </c:pt>
                <c:pt idx="16">
                  <c:v>4.983604917519159</c:v>
                </c:pt>
                <c:pt idx="17">
                  <c:v>4.9878423257022897</c:v>
                </c:pt>
                <c:pt idx="18">
                  <c:v>4.9909866872839883</c:v>
                </c:pt>
                <c:pt idx="19">
                  <c:v>4.9933190405603538</c:v>
                </c:pt>
                <c:pt idx="20">
                  <c:v>4.9950485487049034</c:v>
                </c:pt>
                <c:pt idx="21">
                  <c:v>4.9963307253769464</c:v>
                </c:pt>
                <c:pt idx="22">
                  <c:v>4.9972810994416204</c:v>
                </c:pt>
                <c:pt idx="23">
                  <c:v>4.9979854386383238</c:v>
                </c:pt>
                <c:pt idx="24">
                  <c:v>4.99850738327864</c:v>
                </c:pt>
                <c:pt idx="25">
                  <c:v>4.998894136147447</c:v>
                </c:pt>
                <c:pt idx="26">
                  <c:v>4.9991806975122373</c:v>
                </c:pt>
                <c:pt idx="27">
                  <c:v>4.9993930136921003</c:v>
                </c:pt>
                <c:pt idx="28">
                  <c:v>4.9995503158487482</c:v>
                </c:pt>
                <c:pt idx="29">
                  <c:v>4.9996668561011246</c:v>
                </c:pt>
                <c:pt idx="30">
                  <c:v>4.9997531956105306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3AB-0244-A70A-0201A5EE8F9B}"/>
            </c:ext>
          </c:extLst>
        </c:ser>
        <c:ser>
          <c:idx val="16"/>
          <c:order val="16"/>
          <c:val>
            <c:numRef>
              <c:f>'Parameter Search'!$AF$27:$AF$57</c:f>
              <c:numCache>
                <c:formatCode>0.00</c:formatCode>
                <c:ptCount val="31"/>
                <c:pt idx="0">
                  <c:v>4.9995460481055405</c:v>
                </c:pt>
                <c:pt idx="1">
                  <c:v>4.9997983840849987</c:v>
                </c:pt>
                <c:pt idx="2">
                  <c:v>4.9998950553016623</c:v>
                </c:pt>
                <c:pt idx="3">
                  <c:v>4.9999384837042298</c:v>
                </c:pt>
                <c:pt idx="4">
                  <c:v>4.999960961726984</c:v>
                </c:pt>
                <c:pt idx="5">
                  <c:v>4.9999739354923136</c:v>
                </c:pt>
                <c:pt idx="6">
                  <c:v>4.9999820209673151</c:v>
                </c:pt>
                <c:pt idx="7">
                  <c:v>4.9999873298169408</c:v>
                </c:pt>
                <c:pt idx="8">
                  <c:v>4.9999909411164793</c:v>
                </c:pt>
                <c:pt idx="9">
                  <c:v>4.9999934581339573</c:v>
                </c:pt>
                <c:pt idx="10">
                  <c:v>4.999995242494939</c:v>
                </c:pt>
                <c:pt idx="11">
                  <c:v>4.9999965227706911</c:v>
                </c:pt>
                <c:pt idx="12">
                  <c:v>4.9999974493203077</c:v>
                </c:pt>
                <c:pt idx="13">
                  <c:v>4.9999981240673108</c:v>
                </c:pt>
                <c:pt idx="14">
                  <c:v>4.9999986176763631</c:v>
                </c:pt>
                <c:pt idx="15">
                  <c:v>4.9999989799739639</c:v>
                </c:pt>
                <c:pt idx="16">
                  <c:v>4.999999246539752</c:v>
                </c:pt>
                <c:pt idx="17">
                  <c:v>4.9999994430207355</c:v>
                </c:pt>
                <c:pt idx="18">
                  <c:v>4.9999995880345347</c:v>
                </c:pt>
                <c:pt idx="19">
                  <c:v>4.999999695166915</c:v>
                </c:pt>
                <c:pt idx="20">
                  <c:v>4.9999997743704085</c:v>
                </c:pt>
                <c:pt idx="21">
                  <c:v>4.9999998329570632</c:v>
                </c:pt>
                <c:pt idx="22">
                  <c:v>4.9999998763105218</c:v>
                </c:pt>
                <c:pt idx="23">
                  <c:v>4.9999999084009188</c:v>
                </c:pt>
                <c:pt idx="24">
                  <c:v>4.9999999321594686</c:v>
                </c:pt>
                <c:pt idx="25">
                  <c:v>4.9999999497522278</c:v>
                </c:pt>
                <c:pt idx="26">
                  <c:v>4.9999999627808727</c:v>
                </c:pt>
                <c:pt idx="27">
                  <c:v>4.999999972430321</c:v>
                </c:pt>
                <c:pt idx="28">
                  <c:v>4.9999999795774865</c:v>
                </c:pt>
                <c:pt idx="29">
                  <c:v>4.9999999848715113</c:v>
                </c:pt>
                <c:pt idx="30">
                  <c:v>4.9999999887930242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3AB-0244-A70A-0201A5EE8F9B}"/>
            </c:ext>
          </c:extLst>
        </c:ser>
        <c:ser>
          <c:idx val="17"/>
          <c:order val="17"/>
          <c:val>
            <c:numRef>
              <c:f>'Parameter Search'!$AG$27:$AG$57</c:f>
              <c:numCache>
                <c:formatCode>0.00</c:formatCode>
                <c:ptCount val="31"/>
                <c:pt idx="0">
                  <c:v>4.9999999793884644</c:v>
                </c:pt>
                <c:pt idx="1">
                  <c:v>4.9999999908463186</c:v>
                </c:pt>
                <c:pt idx="2">
                  <c:v>4.9999999952353971</c:v>
                </c:pt>
                <c:pt idx="3">
                  <c:v>4.9999999972071087</c:v>
                </c:pt>
                <c:pt idx="4">
                  <c:v>4.9999999982276364</c:v>
                </c:pt>
                <c:pt idx="5">
                  <c:v>4.9999999988166586</c:v>
                </c:pt>
                <c:pt idx="6">
                  <c:v>4.9999999991837454</c:v>
                </c:pt>
                <c:pt idx="7">
                  <c:v>4.9999999994247704</c:v>
                </c:pt>
                <c:pt idx="8">
                  <c:v>4.9999999995887254</c:v>
                </c:pt>
                <c:pt idx="9">
                  <c:v>4.9999999997029985</c:v>
                </c:pt>
                <c:pt idx="10">
                  <c:v>4.9999999997840092</c:v>
                </c:pt>
                <c:pt idx="11">
                  <c:v>4.9999999998421334</c:v>
                </c:pt>
                <c:pt idx="12">
                  <c:v>4.9999999998841993</c:v>
                </c:pt>
                <c:pt idx="13">
                  <c:v>4.9999999999148326</c:v>
                </c:pt>
                <c:pt idx="14">
                  <c:v>4.9999999999372422</c:v>
                </c:pt>
                <c:pt idx="15">
                  <c:v>4.9999999999536913</c:v>
                </c:pt>
                <c:pt idx="16">
                  <c:v>4.9999999999657927</c:v>
                </c:pt>
                <c:pt idx="17">
                  <c:v>4.9999999999747136</c:v>
                </c:pt>
                <c:pt idx="18">
                  <c:v>4.9999999999812967</c:v>
                </c:pt>
                <c:pt idx="19">
                  <c:v>4.9999999999861604</c:v>
                </c:pt>
                <c:pt idx="20">
                  <c:v>4.9999999999897566</c:v>
                </c:pt>
                <c:pt idx="21">
                  <c:v>4.9999999999924167</c:v>
                </c:pt>
                <c:pt idx="22">
                  <c:v>4.9999999999943849</c:v>
                </c:pt>
                <c:pt idx="23">
                  <c:v>4.9999999999958415</c:v>
                </c:pt>
                <c:pt idx="24">
                  <c:v>4.9999999999969198</c:v>
                </c:pt>
                <c:pt idx="25">
                  <c:v>4.9999999999977192</c:v>
                </c:pt>
                <c:pt idx="26">
                  <c:v>4.9999999999983107</c:v>
                </c:pt>
                <c:pt idx="27">
                  <c:v>4.9999999999987486</c:v>
                </c:pt>
                <c:pt idx="28">
                  <c:v>4.9999999999990727</c:v>
                </c:pt>
                <c:pt idx="29">
                  <c:v>4.9999999999993125</c:v>
                </c:pt>
                <c:pt idx="30">
                  <c:v>4.9999999999994911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3AB-0244-A70A-0201A5EE8F9B}"/>
            </c:ext>
          </c:extLst>
        </c:ser>
        <c:ser>
          <c:idx val="18"/>
          <c:order val="18"/>
          <c:val>
            <c:numRef>
              <c:f>'Parameter Search'!$AH$27:$AH$57</c:f>
              <c:numCache>
                <c:formatCode>0.00</c:formatCode>
                <c:ptCount val="31"/>
                <c:pt idx="0">
                  <c:v>4.9999999999990639</c:v>
                </c:pt>
                <c:pt idx="1">
                  <c:v>4.9999999999995843</c:v>
                </c:pt>
                <c:pt idx="2">
                  <c:v>4.9999999999997833</c:v>
                </c:pt>
                <c:pt idx="3">
                  <c:v>4.999999999999873</c:v>
                </c:pt>
                <c:pt idx="4">
                  <c:v>4.9999999999999201</c:v>
                </c:pt>
                <c:pt idx="5">
                  <c:v>4.9999999999999467</c:v>
                </c:pt>
                <c:pt idx="6">
                  <c:v>4.9999999999999627</c:v>
                </c:pt>
                <c:pt idx="7">
                  <c:v>4.9999999999999734</c:v>
                </c:pt>
                <c:pt idx="8">
                  <c:v>4.9999999999999813</c:v>
                </c:pt>
                <c:pt idx="9">
                  <c:v>4.9999999999999867</c:v>
                </c:pt>
                <c:pt idx="10">
                  <c:v>4.9999999999999902</c:v>
                </c:pt>
                <c:pt idx="11">
                  <c:v>4.9999999999999929</c:v>
                </c:pt>
                <c:pt idx="12">
                  <c:v>4.9999999999999947</c:v>
                </c:pt>
                <c:pt idx="13">
                  <c:v>4.9999999999999964</c:v>
                </c:pt>
                <c:pt idx="14">
                  <c:v>4.9999999999999973</c:v>
                </c:pt>
                <c:pt idx="15">
                  <c:v>4.9999999999999982</c:v>
                </c:pt>
                <c:pt idx="16">
                  <c:v>4.9999999999999982</c:v>
                </c:pt>
                <c:pt idx="17">
                  <c:v>4.9999999999999991</c:v>
                </c:pt>
                <c:pt idx="18">
                  <c:v>4.9999999999999991</c:v>
                </c:pt>
                <c:pt idx="19">
                  <c:v>4.9999999999999991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3AB-0244-A70A-0201A5EE8F9B}"/>
            </c:ext>
          </c:extLst>
        </c:ser>
        <c:ser>
          <c:idx val="19"/>
          <c:order val="19"/>
          <c:val>
            <c:numRef>
              <c:f>'Parameter Search'!$AI$27:$AI$57</c:f>
              <c:numCache>
                <c:formatCode>0.00</c:formatCode>
                <c:ptCount val="3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3AB-0244-A70A-0201A5EE8F9B}"/>
            </c:ext>
          </c:extLst>
        </c:ser>
        <c:ser>
          <c:idx val="20"/>
          <c:order val="20"/>
          <c:val>
            <c:numRef>
              <c:f>'Parameter Search'!$AJ$27:$AJ$57</c:f>
              <c:numCache>
                <c:formatCode>0.00</c:formatCode>
                <c:ptCount val="3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3AB-0244-A70A-0201A5EE8F9B}"/>
            </c:ext>
          </c:extLst>
        </c:ser>
        <c:ser>
          <c:idx val="21"/>
          <c:order val="21"/>
          <c:val>
            <c:numRef>
              <c:f>'Parameter Search'!$AK$27:$AK$57</c:f>
              <c:numCache>
                <c:formatCode>0.00</c:formatCode>
                <c:ptCount val="3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3AB-0244-A70A-0201A5EE8F9B}"/>
            </c:ext>
          </c:extLst>
        </c:ser>
        <c:ser>
          <c:idx val="22"/>
          <c:order val="22"/>
          <c:val>
            <c:numRef>
              <c:f>'Parameter Search'!$AL$27:$AL$57</c:f>
              <c:numCache>
                <c:formatCode>0.00</c:formatCode>
                <c:ptCount val="3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3AB-0244-A70A-0201A5EE8F9B}"/>
            </c:ext>
          </c:extLst>
        </c:ser>
        <c:ser>
          <c:idx val="23"/>
          <c:order val="23"/>
          <c:val>
            <c:numRef>
              <c:f>'Parameter Search'!$AM$27:$AM$57</c:f>
              <c:numCache>
                <c:formatCode>0.00</c:formatCode>
                <c:ptCount val="3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3AB-0244-A70A-0201A5EE8F9B}"/>
            </c:ext>
          </c:extLst>
        </c:ser>
        <c:ser>
          <c:idx val="24"/>
          <c:order val="24"/>
          <c:val>
            <c:numRef>
              <c:f>'Parameter Search'!$AN$27:$AN$57</c:f>
              <c:numCache>
                <c:formatCode>0.00</c:formatCode>
                <c:ptCount val="3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3AB-0244-A70A-0201A5EE8F9B}"/>
            </c:ext>
          </c:extLst>
        </c:ser>
        <c:ser>
          <c:idx val="25"/>
          <c:order val="25"/>
          <c:val>
            <c:numRef>
              <c:f>'Parameter Search'!$AO$27:$AO$57</c:f>
              <c:numCache>
                <c:formatCode>0.00</c:formatCode>
                <c:ptCount val="3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3AB-0244-A70A-0201A5EE8F9B}"/>
            </c:ext>
          </c:extLst>
        </c:ser>
        <c:ser>
          <c:idx val="26"/>
          <c:order val="26"/>
          <c:val>
            <c:numRef>
              <c:f>'Parameter Search'!$AP$27:$AP$57</c:f>
              <c:numCache>
                <c:formatCode>0.00</c:formatCode>
                <c:ptCount val="3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3AB-0244-A70A-0201A5EE8F9B}"/>
            </c:ext>
          </c:extLst>
        </c:ser>
        <c:ser>
          <c:idx val="27"/>
          <c:order val="27"/>
          <c:val>
            <c:numRef>
              <c:f>'Parameter Search'!$AQ$27:$AQ$57</c:f>
              <c:numCache>
                <c:formatCode>0.00</c:formatCode>
                <c:ptCount val="3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3AB-0244-A70A-0201A5EE8F9B}"/>
            </c:ext>
          </c:extLst>
        </c:ser>
        <c:bandFmts/>
        <c:axId val="293337728"/>
        <c:axId val="293474688"/>
        <c:axId val="293470208"/>
      </c:surface3DChart>
      <c:catAx>
        <c:axId val="293337728"/>
        <c:scaling>
          <c:orientation val="minMax"/>
        </c:scaling>
        <c:delete val="0"/>
        <c:axPos val="b"/>
        <c:majorTickMark val="out"/>
        <c:minorTickMark val="none"/>
        <c:tickLblPos val="nextTo"/>
        <c:crossAx val="293474688"/>
        <c:crosses val="autoZero"/>
        <c:auto val="1"/>
        <c:lblAlgn val="ctr"/>
        <c:lblOffset val="100"/>
        <c:noMultiLvlLbl val="0"/>
      </c:catAx>
      <c:valAx>
        <c:axId val="293474688"/>
        <c:scaling>
          <c:orientation val="minMax"/>
        </c:scaling>
        <c:delete val="0"/>
        <c:axPos val="r"/>
        <c:majorGridlines/>
        <c:numFmt formatCode="0.00" sourceLinked="1"/>
        <c:majorTickMark val="out"/>
        <c:minorTickMark val="none"/>
        <c:tickLblPos val="nextTo"/>
        <c:crossAx val="293337728"/>
        <c:crosses val="autoZero"/>
        <c:crossBetween val="midCat"/>
      </c:valAx>
      <c:serAx>
        <c:axId val="293470208"/>
        <c:scaling>
          <c:orientation val="minMax"/>
        </c:scaling>
        <c:delete val="1"/>
        <c:axPos val="b"/>
        <c:majorTickMark val="out"/>
        <c:minorTickMark val="none"/>
        <c:tickLblPos val="nextTo"/>
        <c:crossAx val="293474688"/>
        <c:crosses val="autoZero"/>
      </c:serAx>
      <c:spPr>
        <a:noFill/>
      </c:spPr>
    </c:plotArea>
    <c:plotVisOnly val="1"/>
    <c:dispBlanksAs val="zero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Sigmoid(x) : Y = 1/(</a:t>
            </a:r>
            <a:r>
              <a:rPr lang="en-US" baseline="0"/>
              <a:t> 1+e</a:t>
            </a:r>
            <a:r>
              <a:rPr lang="en-US" baseline="30000"/>
              <a:t>-x</a:t>
            </a:r>
            <a:r>
              <a:rPr lang="en-US" baseline="0"/>
              <a:t>)</a:t>
            </a:r>
            <a:endParaRPr lang="en-US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'Log cost function'!$C$27</c:f>
              <c:strCache>
                <c:ptCount val="1"/>
                <c:pt idx="0">
                  <c:v>Sigmoid(x)</c:v>
                </c:pt>
              </c:strCache>
            </c:strRef>
          </c:tx>
          <c:marker>
            <c:symbol val="none"/>
          </c:marker>
          <c:xVal>
            <c:numRef>
              <c:f>'Log cost function'!$B$28:$B$78</c:f>
              <c:numCache>
                <c:formatCode>0.0</c:formatCode>
                <c:ptCount val="51"/>
                <c:pt idx="0">
                  <c:v>-2</c:v>
                </c:pt>
                <c:pt idx="1">
                  <c:v>-1.5</c:v>
                </c:pt>
                <c:pt idx="2">
                  <c:v>-1</c:v>
                </c:pt>
                <c:pt idx="3">
                  <c:v>-0.5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4.5</c:v>
                </c:pt>
                <c:pt idx="14">
                  <c:v>5</c:v>
                </c:pt>
                <c:pt idx="15">
                  <c:v>5.5</c:v>
                </c:pt>
                <c:pt idx="16">
                  <c:v>6</c:v>
                </c:pt>
                <c:pt idx="17">
                  <c:v>6.5</c:v>
                </c:pt>
                <c:pt idx="18">
                  <c:v>7</c:v>
                </c:pt>
                <c:pt idx="19">
                  <c:v>7.5</c:v>
                </c:pt>
                <c:pt idx="20">
                  <c:v>8</c:v>
                </c:pt>
                <c:pt idx="21">
                  <c:v>8.5</c:v>
                </c:pt>
                <c:pt idx="22">
                  <c:v>9</c:v>
                </c:pt>
                <c:pt idx="23">
                  <c:v>9.5</c:v>
                </c:pt>
                <c:pt idx="24">
                  <c:v>10</c:v>
                </c:pt>
                <c:pt idx="25">
                  <c:v>10.5</c:v>
                </c:pt>
                <c:pt idx="26">
                  <c:v>11</c:v>
                </c:pt>
                <c:pt idx="27">
                  <c:v>11.5</c:v>
                </c:pt>
                <c:pt idx="28">
                  <c:v>12</c:v>
                </c:pt>
                <c:pt idx="29">
                  <c:v>12.5</c:v>
                </c:pt>
                <c:pt idx="30">
                  <c:v>13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18</c:v>
                </c:pt>
                <c:pt idx="41">
                  <c:v>18.5</c:v>
                </c:pt>
                <c:pt idx="42">
                  <c:v>19</c:v>
                </c:pt>
                <c:pt idx="43">
                  <c:v>19.5</c:v>
                </c:pt>
                <c:pt idx="44">
                  <c:v>20</c:v>
                </c:pt>
                <c:pt idx="45">
                  <c:v>20.5</c:v>
                </c:pt>
                <c:pt idx="46">
                  <c:v>21</c:v>
                </c:pt>
                <c:pt idx="47">
                  <c:v>21.5</c:v>
                </c:pt>
                <c:pt idx="48">
                  <c:v>22</c:v>
                </c:pt>
                <c:pt idx="49">
                  <c:v>22.5</c:v>
                </c:pt>
                <c:pt idx="50">
                  <c:v>23</c:v>
                </c:pt>
              </c:numCache>
            </c:numRef>
          </c:xVal>
          <c:yVal>
            <c:numRef>
              <c:f>'Log cost function'!$D$28:$D$78</c:f>
              <c:numCache>
                <c:formatCode>0.00</c:formatCode>
                <c:ptCount val="51"/>
                <c:pt idx="0">
                  <c:v>2.6456029786960227E-5</c:v>
                </c:pt>
                <c:pt idx="1">
                  <c:v>5.6568595860266094E-5</c:v>
                </c:pt>
                <c:pt idx="2">
                  <c:v>1.2095149520497219E-4</c:v>
                </c:pt>
                <c:pt idx="3">
                  <c:v>2.5859210404929211E-4</c:v>
                </c:pt>
                <c:pt idx="4">
                  <c:v>5.5277863692359955E-4</c:v>
                </c:pt>
                <c:pt idx="5">
                  <c:v>1.1812501544791263E-3</c:v>
                </c:pt>
                <c:pt idx="6">
                  <c:v>2.5224474607696942E-3</c:v>
                </c:pt>
                <c:pt idx="7">
                  <c:v>5.3782471738486092E-3</c:v>
                </c:pt>
                <c:pt idx="8">
                  <c:v>1.1430203126470723E-2</c:v>
                </c:pt>
                <c:pt idx="9">
                  <c:v>2.4127021417669196E-2</c:v>
                </c:pt>
                <c:pt idx="10">
                  <c:v>5.0211273190266553E-2</c:v>
                </c:pt>
                <c:pt idx="11">
                  <c:v>0.10156092789763668</c:v>
                </c:pt>
                <c:pt idx="12">
                  <c:v>0.19466158359157792</c:v>
                </c:pt>
                <c:pt idx="13">
                  <c:v>0.34073961154861454</c:v>
                </c:pt>
                <c:pt idx="14">
                  <c:v>0.5249791874789399</c:v>
                </c:pt>
                <c:pt idx="15">
                  <c:v>0.70266065434473135</c:v>
                </c:pt>
                <c:pt idx="16">
                  <c:v>0.83479512980938553</c:v>
                </c:pt>
                <c:pt idx="17">
                  <c:v>0.91528943426926423</c:v>
                </c:pt>
                <c:pt idx="18">
                  <c:v>0.9585128806983042</c:v>
                </c:pt>
                <c:pt idx="19">
                  <c:v>0.98015969426592253</c:v>
                </c:pt>
                <c:pt idx="20">
                  <c:v>0.99062231113732313</c:v>
                </c:pt>
                <c:pt idx="21">
                  <c:v>0.99559236659163719</c:v>
                </c:pt>
                <c:pt idx="22">
                  <c:v>0.99793384995995449</c:v>
                </c:pt>
                <c:pt idx="23">
                  <c:v>0.99903266704193228</c:v>
                </c:pt>
                <c:pt idx="24">
                  <c:v>0.9995473777767595</c:v>
                </c:pt>
                <c:pt idx="25">
                  <c:v>0.99978827276724092</c:v>
                </c:pt>
                <c:pt idx="26">
                  <c:v>0.99990097112005794</c:v>
                </c:pt>
                <c:pt idx="27">
                  <c:v>0.99995368507599069</c:v>
                </c:pt>
                <c:pt idx="28">
                  <c:v>0.99997833953093274</c:v>
                </c:pt>
                <c:pt idx="29">
                  <c:v>0.99998987000901918</c:v>
                </c:pt>
                <c:pt idx="30">
                  <c:v>0.99999526251776527</c:v>
                </c:pt>
                <c:pt idx="31">
                  <c:v>0.99999778443302278</c:v>
                </c:pt>
                <c:pt idx="32">
                  <c:v>0.99999896385248588</c:v>
                </c:pt>
                <c:pt idx="33">
                  <c:v>0.99999951542832699</c:v>
                </c:pt>
                <c:pt idx="34">
                  <c:v>0.9999997733820386</c:v>
                </c:pt>
                <c:pt idx="35">
                  <c:v>0.99999989401837486</c:v>
                </c:pt>
                <c:pt idx="36">
                  <c:v>0.99999995043594925</c:v>
                </c:pt>
                <c:pt idx="37">
                  <c:v>0.99999997682055686</c:v>
                </c:pt>
                <c:pt idx="38">
                  <c:v>0.99999998915975252</c:v>
                </c:pt>
                <c:pt idx="39">
                  <c:v>0.99999999493038016</c:v>
                </c:pt>
                <c:pt idx="40">
                  <c:v>0.99999999762910896</c:v>
                </c:pt>
                <c:pt idx="41">
                  <c:v>0.99999999889121383</c:v>
                </c:pt>
                <c:pt idx="42">
                  <c:v>0.9999999994814579</c:v>
                </c:pt>
                <c:pt idx="43">
                  <c:v>0.99999999975749532</c:v>
                </c:pt>
                <c:pt idx="44">
                  <c:v>0.99999999988658872</c:v>
                </c:pt>
                <c:pt idx="45">
                  <c:v>0.99999999994696132</c:v>
                </c:pt>
                <c:pt idx="46">
                  <c:v>0.99999999997519562</c:v>
                </c:pt>
                <c:pt idx="47">
                  <c:v>0.99999999998839983</c:v>
                </c:pt>
                <c:pt idx="48">
                  <c:v>0.99999999999457501</c:v>
                </c:pt>
                <c:pt idx="49">
                  <c:v>0.99999999999746292</c:v>
                </c:pt>
                <c:pt idx="50">
                  <c:v>0.9999999999988135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D8-5349-9D17-3A4E0DA0BCC3}"/>
            </c:ext>
          </c:extLst>
        </c:ser>
        <c:ser>
          <c:idx val="1"/>
          <c:order val="1"/>
          <c:tx>
            <c:strRef>
              <c:f>'Log cost function'!$D$3</c:f>
              <c:strCache>
                <c:ptCount val="1"/>
                <c:pt idx="0">
                  <c:v>Mallignant?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</c:marker>
          <c:dPt>
            <c:idx val="0"/>
            <c:marker>
              <c:spPr>
                <a:solidFill>
                  <a:srgbClr val="00B05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DD8-5349-9D17-3A4E0DA0BCC3}"/>
              </c:ext>
            </c:extLst>
          </c:dPt>
          <c:dPt>
            <c:idx val="1"/>
            <c:marker>
              <c:spPr>
                <a:solidFill>
                  <a:srgbClr val="00B05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DD8-5349-9D17-3A4E0DA0BCC3}"/>
              </c:ext>
            </c:extLst>
          </c:dPt>
          <c:dPt>
            <c:idx val="2"/>
            <c:marker>
              <c:spPr>
                <a:solidFill>
                  <a:srgbClr val="00B05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DD8-5349-9D17-3A4E0DA0BCC3}"/>
              </c:ext>
            </c:extLst>
          </c:dPt>
          <c:dPt>
            <c:idx val="3"/>
            <c:marker>
              <c:spPr>
                <a:solidFill>
                  <a:srgbClr val="00B05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1DD8-5349-9D17-3A4E0DA0BCC3}"/>
              </c:ext>
            </c:extLst>
          </c:dPt>
          <c:dPt>
            <c:idx val="6"/>
            <c:marker>
              <c:spPr>
                <a:solidFill>
                  <a:srgbClr val="00B05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1DD8-5349-9D17-3A4E0DA0BCC3}"/>
              </c:ext>
            </c:extLst>
          </c:dPt>
          <c:xVal>
            <c:numRef>
              <c:f>'Log cost function'!$B$4:$B$16</c:f>
              <c:numCache>
                <c:formatCode>0.0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4.8</c:v>
                </c:pt>
                <c:pt idx="5">
                  <c:v>6</c:v>
                </c:pt>
                <c:pt idx="6">
                  <c:v>5.2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'Log cost function'!$D$4:$D$16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DD8-5349-9D17-3A4E0DA0B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562624"/>
        <c:axId val="293564800"/>
      </c:scatterChart>
      <c:valAx>
        <c:axId val="293562624"/>
        <c:scaling>
          <c:orientation val="minMax"/>
          <c:max val="14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2400"/>
                </a:pPr>
                <a:r>
                  <a:rPr lang="en-US" sz="2400"/>
                  <a:t>X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293564800"/>
        <c:crosses val="autoZero"/>
        <c:crossBetween val="midCat"/>
        <c:majorUnit val="1"/>
        <c:minorUnit val="0.5"/>
      </c:valAx>
      <c:valAx>
        <c:axId val="29356480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sz="2800"/>
                </a:pPr>
                <a:r>
                  <a:rPr lang="en-US" sz="2800"/>
                  <a:t>Y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3562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0"/>
      <c:rotY val="30"/>
      <c:rAngAx val="0"/>
      <c:perspective val="2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9906839033906323"/>
          <c:y val="1.821085797111182E-2"/>
          <c:w val="0.78256519379530776"/>
          <c:h val="0.84310211628011844"/>
        </c:manualLayout>
      </c:layout>
      <c:surface3DChart>
        <c:wireframe val="0"/>
        <c:ser>
          <c:idx val="0"/>
          <c:order val="0"/>
          <c:val>
            <c:numRef>
              <c:f>'Log cost parameter search'!$M$23:$M$53</c:f>
              <c:numCache>
                <c:formatCode>0.00</c:formatCode>
                <c:ptCount val="31"/>
                <c:pt idx="0">
                  <c:v>35.080708601548508</c:v>
                </c:pt>
                <c:pt idx="1">
                  <c:v>28.367020341608622</c:v>
                </c:pt>
                <c:pt idx="2">
                  <c:v>22.509891661566456</c:v>
                </c:pt>
                <c:pt idx="3">
                  <c:v>17.765707533352145</c:v>
                </c:pt>
                <c:pt idx="4">
                  <c:v>14.071357005559175</c:v>
                </c:pt>
                <c:pt idx="5">
                  <c:v>11.229033675573959</c:v>
                </c:pt>
                <c:pt idx="6">
                  <c:v>9.0409265666749761</c:v>
                </c:pt>
                <c:pt idx="7">
                  <c:v>7.33908568003387</c:v>
                </c:pt>
                <c:pt idx="8">
                  <c:v>5.9865173575357913</c:v>
                </c:pt>
                <c:pt idx="9">
                  <c:v>4.8829630226872034</c:v>
                </c:pt>
                <c:pt idx="10">
                  <c:v>3.972970737838585</c:v>
                </c:pt>
                <c:pt idx="11">
                  <c:v>3.2396140224325745</c:v>
                </c:pt>
                <c:pt idx="12">
                  <c:v>2.6852427548115938</c:v>
                </c:pt>
                <c:pt idx="13">
                  <c:v>2.3144374783915764</c:v>
                </c:pt>
                <c:pt idx="14">
                  <c:v>2.1267491968421872</c:v>
                </c:pt>
                <c:pt idx="15">
                  <c:v>2.1155710952605267</c:v>
                </c:pt>
                <c:pt idx="16">
                  <c:v>2.2683295474956706</c:v>
                </c:pt>
                <c:pt idx="17">
                  <c:v>2.5676400803200781</c:v>
                </c:pt>
                <c:pt idx="18">
                  <c:v>2.9939515032072381</c:v>
                </c:pt>
                <c:pt idx="19">
                  <c:v>3.5285107760967369</c:v>
                </c:pt>
                <c:pt idx="20">
                  <c:v>4.1550913216178484</c:v>
                </c:pt>
                <c:pt idx="21">
                  <c:v>4.8601205235147855</c:v>
                </c:pt>
                <c:pt idx="22">
                  <c:v>5.6320277645448238</c:v>
                </c:pt>
                <c:pt idx="23">
                  <c:v>6.4607672114241996</c:v>
                </c:pt>
                <c:pt idx="24">
                  <c:v>7.3378258659037181</c:v>
                </c:pt>
                <c:pt idx="25">
                  <c:v>8.2564509512615718</c:v>
                </c:pt>
                <c:pt idx="26">
                  <c:v>9.2117315462237706</c:v>
                </c:pt>
                <c:pt idx="27">
                  <c:v>10.200375036959125</c:v>
                </c:pt>
                <c:pt idx="28">
                  <c:v>11.220232060525685</c:v>
                </c:pt>
                <c:pt idx="29">
                  <c:v>12.269724060686173</c:v>
                </c:pt>
                <c:pt idx="30">
                  <c:v>13.347334283243484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E-4347-8325-CD9B0C8954D7}"/>
            </c:ext>
          </c:extLst>
        </c:ser>
        <c:ser>
          <c:idx val="1"/>
          <c:order val="1"/>
          <c:val>
            <c:numRef>
              <c:f>'Log cost parameter search'!$N$23:$N$53</c:f>
              <c:numCache>
                <c:formatCode>0.00</c:formatCode>
                <c:ptCount val="31"/>
                <c:pt idx="0">
                  <c:v>34.927215693683046</c:v>
                </c:pt>
                <c:pt idx="1">
                  <c:v>28.224217640944058</c:v>
                </c:pt>
                <c:pt idx="2">
                  <c:v>22.384884616199709</c:v>
                </c:pt>
                <c:pt idx="3">
                  <c:v>17.660768890891365</c:v>
                </c:pt>
                <c:pt idx="4">
                  <c:v>13.984705405264556</c:v>
                </c:pt>
                <c:pt idx="5">
                  <c:v>11.157765253969997</c:v>
                </c:pt>
                <c:pt idx="6">
                  <c:v>8.9821150608508269</c:v>
                </c:pt>
                <c:pt idx="7">
                  <c:v>7.2900025701216666</c:v>
                </c:pt>
                <c:pt idx="8">
                  <c:v>5.9448671466891128</c:v>
                </c:pt>
                <c:pt idx="9">
                  <c:v>4.8473230557520406</c:v>
                </c:pt>
                <c:pt idx="10">
                  <c:v>3.9429821107891603</c:v>
                </c:pt>
                <c:pt idx="11">
                  <c:v>3.2156246997372051</c:v>
                </c:pt>
                <c:pt idx="12">
                  <c:v>2.6677616695974429</c:v>
                </c:pt>
                <c:pt idx="13">
                  <c:v>2.3038050256944027</c:v>
                </c:pt>
                <c:pt idx="14">
                  <c:v>2.123053202956696</c:v>
                </c:pt>
                <c:pt idx="15">
                  <c:v>2.1186340707430706</c:v>
                </c:pt>
                <c:pt idx="16">
                  <c:v>2.2777188428631554</c:v>
                </c:pt>
                <c:pt idx="17">
                  <c:v>2.5827457746021865</c:v>
                </c:pt>
                <c:pt idx="18">
                  <c:v>3.0141132585768649</c:v>
                </c:pt>
                <c:pt idx="19">
                  <c:v>3.5531200148268347</c:v>
                </c:pt>
                <c:pt idx="20">
                  <c:v>4.1836240320630917</c:v>
                </c:pt>
                <c:pt idx="21">
                  <c:v>4.8921190403545758</c:v>
                </c:pt>
                <c:pt idx="22">
                  <c:v>5.667078957744053</c:v>
                </c:pt>
                <c:pt idx="23">
                  <c:v>6.4985045488908737</c:v>
                </c:pt>
                <c:pt idx="24">
                  <c:v>7.3779488707003047</c:v>
                </c:pt>
                <c:pt idx="25">
                  <c:v>8.2987411493277161</c:v>
                </c:pt>
                <c:pt idx="26">
                  <c:v>9.2560510571662373</c:v>
                </c:pt>
                <c:pt idx="27">
                  <c:v>10.246646948355867</c:v>
                </c:pt>
                <c:pt idx="28">
                  <c:v>11.268410090874792</c:v>
                </c:pt>
                <c:pt idx="29">
                  <c:v>12.319761563717893</c:v>
                </c:pt>
                <c:pt idx="30">
                  <c:v>13.399161340265062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E-4347-8325-CD9B0C8954D7}"/>
            </c:ext>
          </c:extLst>
        </c:ser>
        <c:ser>
          <c:idx val="2"/>
          <c:order val="2"/>
          <c:val>
            <c:numRef>
              <c:f>'Log cost parameter search'!$O$23:$O$53</c:f>
              <c:numCache>
                <c:formatCode>0.00</c:formatCode>
                <c:ptCount val="31"/>
                <c:pt idx="0">
                  <c:v>34.773840321242112</c:v>
                </c:pt>
                <c:pt idx="1">
                  <c:v>28.081665698611058</c:v>
                </c:pt>
                <c:pt idx="2">
                  <c:v>22.260229758353447</c:v>
                </c:pt>
                <c:pt idx="3">
                  <c:v>17.556198901662921</c:v>
                </c:pt>
                <c:pt idx="4">
                  <c:v>13.898396914746737</c:v>
                </c:pt>
                <c:pt idx="5">
                  <c:v>11.086801239622758</c:v>
                </c:pt>
                <c:pt idx="6">
                  <c:v>8.9235636616040814</c:v>
                </c:pt>
                <c:pt idx="7">
                  <c:v>7.2411350358896165</c:v>
                </c:pt>
                <c:pt idx="8">
                  <c:v>5.9034004947656902</c:v>
                </c:pt>
                <c:pt idx="9">
                  <c:v>4.8118608597090873</c:v>
                </c:pt>
                <c:pt idx="10">
                  <c:v>3.9131900917996139</c:v>
                </c:pt>
                <c:pt idx="11">
                  <c:v>3.191860750503988</c:v>
                </c:pt>
                <c:pt idx="12">
                  <c:v>2.6505312134470715</c:v>
                </c:pt>
                <c:pt idx="13">
                  <c:v>2.2934396571145541</c:v>
                </c:pt>
                <c:pt idx="14">
                  <c:v>2.1196305716974875</c:v>
                </c:pt>
                <c:pt idx="15">
                  <c:v>2.1219655133757453</c:v>
                </c:pt>
                <c:pt idx="16">
                  <c:v>2.2873618383926102</c:v>
                </c:pt>
                <c:pt idx="17">
                  <c:v>2.5980850113872092</c:v>
                </c:pt>
                <c:pt idx="18">
                  <c:v>3.0344880264307372</c:v>
                </c:pt>
                <c:pt idx="19">
                  <c:v>3.5779239657018076</c:v>
                </c:pt>
                <c:pt idx="20">
                  <c:v>4.2123352045742539</c:v>
                </c:pt>
                <c:pt idx="21">
                  <c:v>4.924280788240682</c:v>
                </c:pt>
                <c:pt idx="22">
                  <c:v>5.7022791358020681</c:v>
                </c:pt>
                <c:pt idx="23">
                  <c:v>6.5363787712142525</c:v>
                </c:pt>
                <c:pt idx="24">
                  <c:v>7.4182001382760214</c:v>
                </c:pt>
                <c:pt idx="25">
                  <c:v>8.3411549623468026</c:v>
                </c:pt>
                <c:pt idx="26">
                  <c:v>9.3004928471901387</c:v>
                </c:pt>
                <c:pt idx="27">
                  <c:v>10.293041573700808</c:v>
                </c:pt>
                <c:pt idx="28">
                  <c:v>11.31671118589114</c:v>
                </c:pt>
                <c:pt idx="29">
                  <c:v>12.369920825036877</c:v>
                </c:pt>
                <c:pt idx="30">
                  <c:v>13.451106343082975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E-4347-8325-CD9B0C8954D7}"/>
            </c:ext>
          </c:extLst>
        </c:ser>
        <c:ser>
          <c:idx val="3"/>
          <c:order val="3"/>
          <c:val>
            <c:numRef>
              <c:f>'Log cost parameter search'!$P$23:$P$53</c:f>
              <c:numCache>
                <c:formatCode>0.00</c:formatCode>
                <c:ptCount val="31"/>
                <c:pt idx="0">
                  <c:v>34.620584368176111</c:v>
                </c:pt>
                <c:pt idx="1">
                  <c:v>27.939367013237014</c:v>
                </c:pt>
                <c:pt idx="2">
                  <c:v>22.135928440691625</c:v>
                </c:pt>
                <c:pt idx="3">
                  <c:v>17.45199786985345</c:v>
                </c:pt>
                <c:pt idx="4">
                  <c:v>13.81243138041596</c:v>
                </c:pt>
                <c:pt idx="5">
                  <c:v>11.016141210090192</c:v>
                </c:pt>
                <c:pt idx="6">
                  <c:v>8.8652717588200058</c:v>
                </c:pt>
                <c:pt idx="7">
                  <c:v>7.1924825377180106</c:v>
                </c:pt>
                <c:pt idx="8">
                  <c:v>5.8621174154457858</c:v>
                </c:pt>
                <c:pt idx="9">
                  <c:v>4.7765772392365324</c:v>
                </c:pt>
                <c:pt idx="10">
                  <c:v>3.8835959920700214</c:v>
                </c:pt>
                <c:pt idx="11">
                  <c:v>3.1683235222492443</c:v>
                </c:pt>
                <c:pt idx="12">
                  <c:v>2.6335524902790937</c:v>
                </c:pt>
                <c:pt idx="13">
                  <c:v>2.2833421393843283</c:v>
                </c:pt>
                <c:pt idx="14">
                  <c:v>2.116481652135386</c:v>
                </c:pt>
                <c:pt idx="15">
                  <c:v>2.1255653234698242</c:v>
                </c:pt>
                <c:pt idx="16">
                  <c:v>2.2972581031677262</c:v>
                </c:pt>
                <c:pt idx="17">
                  <c:v>2.6136572379402021</c:v>
                </c:pt>
                <c:pt idx="18">
                  <c:v>3.055075287547532</c:v>
                </c:pt>
                <c:pt idx="19">
                  <c:v>3.6029221701287684</c:v>
                </c:pt>
                <c:pt idx="20">
                  <c:v>4.24122439547304</c:v>
                </c:pt>
                <c:pt idx="21">
                  <c:v>4.9566053222516313</c:v>
                </c:pt>
                <c:pt idx="22">
                  <c:v>5.7376279073949839</c:v>
                </c:pt>
                <c:pt idx="23">
                  <c:v>6.574389627265953</c:v>
                </c:pt>
                <c:pt idx="24">
                  <c:v>7.4585796129455648</c:v>
                </c:pt>
                <c:pt idx="25">
                  <c:v>8.3836925192853116</c:v>
                </c:pt>
                <c:pt idx="26">
                  <c:v>9.3450571567168268</c:v>
                </c:pt>
                <c:pt idx="27">
                  <c:v>10.339559157195854</c:v>
                </c:pt>
                <c:pt idx="28">
                  <c:v>11.365135488266816</c:v>
                </c:pt>
                <c:pt idx="29">
                  <c:v>12.420201816473536</c:v>
                </c:pt>
                <c:pt idx="30">
                  <c:v>13.503169078666938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E-4347-8325-CD9B0C8954D7}"/>
            </c:ext>
          </c:extLst>
        </c:ser>
        <c:ser>
          <c:idx val="4"/>
          <c:order val="4"/>
          <c:val>
            <c:numRef>
              <c:f>'Log cost parameter search'!$Q$23:$Q$53</c:f>
              <c:numCache>
                <c:formatCode>0.00</c:formatCode>
                <c:ptCount val="31"/>
                <c:pt idx="0">
                  <c:v>34.467449740547757</c:v>
                </c:pt>
                <c:pt idx="1">
                  <c:v>27.797324081696733</c:v>
                </c:pt>
                <c:pt idx="2">
                  <c:v>22.011981996903298</c:v>
                </c:pt>
                <c:pt idx="3">
                  <c:v>17.348166089177813</c:v>
                </c:pt>
                <c:pt idx="4">
                  <c:v>13.726808642233488</c:v>
                </c:pt>
                <c:pt idx="5">
                  <c:v>10.945784737062448</c:v>
                </c:pt>
                <c:pt idx="6">
                  <c:v>8.8072387401866408</c:v>
                </c:pt>
                <c:pt idx="7">
                  <c:v>7.1440445456299768</c:v>
                </c:pt>
                <c:pt idx="8">
                  <c:v>5.8210179455041438</c:v>
                </c:pt>
                <c:pt idx="9">
                  <c:v>4.7414730210954463</c:v>
                </c:pt>
                <c:pt idx="10">
                  <c:v>3.8542011316031393</c:v>
                </c:pt>
                <c:pt idx="11">
                  <c:v>3.14501435893377</c:v>
                </c:pt>
                <c:pt idx="12">
                  <c:v>2.6168265950187495</c:v>
                </c:pt>
                <c:pt idx="13">
                  <c:v>2.2735132262344515</c:v>
                </c:pt>
                <c:pt idx="14">
                  <c:v>2.1136067762457746</c:v>
                </c:pt>
                <c:pt idx="15">
                  <c:v>2.1294333853626402</c:v>
                </c:pt>
                <c:pt idx="16">
                  <c:v>2.307407197513323</c:v>
                </c:pt>
                <c:pt idx="17">
                  <c:v>2.6294619005484514</c:v>
                </c:pt>
                <c:pt idx="18">
                  <c:v>3.075874524690021</c:v>
                </c:pt>
                <c:pt idx="19">
                  <c:v>3.6281141698477404</c:v>
                </c:pt>
                <c:pt idx="20">
                  <c:v>4.2702911598015518</c:v>
                </c:pt>
                <c:pt idx="21">
                  <c:v>4.989092198171905</c:v>
                </c:pt>
                <c:pt idx="22">
                  <c:v>5.7731248867292173</c:v>
                </c:pt>
                <c:pt idx="23">
                  <c:v>6.6125368757005463</c:v>
                </c:pt>
                <c:pt idx="24">
                  <c:v>7.4990872497126784</c:v>
                </c:pt>
                <c:pt idx="25">
                  <c:v>8.4263539567054799</c:v>
                </c:pt>
                <c:pt idx="26">
                  <c:v>9.3897442277899081</c:v>
                </c:pt>
                <c:pt idx="27">
                  <c:v>10.38619993788115</c:v>
                </c:pt>
                <c:pt idx="28">
                  <c:v>11.413683130225856</c:v>
                </c:pt>
                <c:pt idx="29">
                  <c:v>12.470604497310664</c:v>
                </c:pt>
                <c:pt idx="30">
                  <c:v>13.555349323144316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E-4347-8325-CD9B0C8954D7}"/>
            </c:ext>
          </c:extLst>
        </c:ser>
        <c:ser>
          <c:idx val="5"/>
          <c:order val="5"/>
          <c:val>
            <c:numRef>
              <c:f>'Log cost parameter search'!$R$23:$R$53</c:f>
              <c:numCache>
                <c:formatCode>0.00</c:formatCode>
                <c:ptCount val="31"/>
                <c:pt idx="0">
                  <c:v>34.314438366528961</c:v>
                </c:pt>
                <c:pt idx="1">
                  <c:v>27.655539398571538</c:v>
                </c:pt>
                <c:pt idx="2">
                  <c:v>21.888391741720536</c:v>
                </c:pt>
                <c:pt idx="3">
                  <c:v>17.244703842960533</c:v>
                </c:pt>
                <c:pt idx="4">
                  <c:v>13.641528533708341</c:v>
                </c:pt>
                <c:pt idx="5">
                  <c:v>10.875731386387844</c:v>
                </c:pt>
                <c:pt idx="6">
                  <c:v>8.7494639914119308</c:v>
                </c:pt>
                <c:pt idx="7">
                  <c:v>7.0958205397511254</c:v>
                </c:pt>
                <c:pt idx="8">
                  <c:v>5.7801021450412895</c:v>
                </c:pt>
                <c:pt idx="9">
                  <c:v>4.7065490538744648</c:v>
                </c:pt>
                <c:pt idx="10">
                  <c:v>3.8250068387615066</c:v>
                </c:pt>
                <c:pt idx="11">
                  <c:v>3.1219346006874251</c:v>
                </c:pt>
                <c:pt idx="12">
                  <c:v>2.6003546134315969</c:v>
                </c:pt>
                <c:pt idx="13">
                  <c:v>2.2639536581682171</c:v>
                </c:pt>
                <c:pt idx="14">
                  <c:v>2.1110062588005518</c:v>
                </c:pt>
                <c:pt idx="15">
                  <c:v>2.1335695675999036</c:v>
                </c:pt>
                <c:pt idx="16">
                  <c:v>2.3178086733297416</c:v>
                </c:pt>
                <c:pt idx="17">
                  <c:v>2.6454984447288621</c:v>
                </c:pt>
                <c:pt idx="18">
                  <c:v>3.0968852225752261</c:v>
                </c:pt>
                <c:pt idx="19">
                  <c:v>3.6534995068250455</c:v>
                </c:pt>
                <c:pt idx="20">
                  <c:v>4.2995350513646624</c:v>
                </c:pt>
                <c:pt idx="21">
                  <c:v>5.0217409727283222</c:v>
                </c:pt>
                <c:pt idx="22">
                  <c:v>5.8087696938194071</c:v>
                </c:pt>
                <c:pt idx="23">
                  <c:v>6.6508202850888249</c:v>
                </c:pt>
                <c:pt idx="24">
                  <c:v>7.5397230141694074</c:v>
                </c:pt>
                <c:pt idx="25">
                  <c:v>8.4691394184556223</c:v>
                </c:pt>
                <c:pt idx="26">
                  <c:v>9.4345543036603914</c:v>
                </c:pt>
                <c:pt idx="27">
                  <c:v>10.43296414925728</c:v>
                </c:pt>
                <c:pt idx="28">
                  <c:v>11.462354233313462</c:v>
                </c:pt>
                <c:pt idx="29">
                  <c:v>12.52112881431831</c:v>
                </c:pt>
                <c:pt idx="30">
                  <c:v>13.607646842078559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7E-4347-8325-CD9B0C8954D7}"/>
            </c:ext>
          </c:extLst>
        </c:ser>
        <c:ser>
          <c:idx val="6"/>
          <c:order val="6"/>
          <c:val>
            <c:numRef>
              <c:f>'Log cost parameter search'!$S$23:$S$53</c:f>
              <c:numCache>
                <c:formatCode>0.00</c:formatCode>
                <c:ptCount val="31"/>
                <c:pt idx="0">
                  <c:v>34.161552196388165</c:v>
                </c:pt>
                <c:pt idx="1">
                  <c:v>27.514015455609623</c:v>
                </c:pt>
                <c:pt idx="2">
                  <c:v>21.765158970941922</c:v>
                </c:pt>
                <c:pt idx="3">
                  <c:v>17.141611404215674</c:v>
                </c:pt>
                <c:pt idx="4">
                  <c:v>13.556590881893877</c:v>
                </c:pt>
                <c:pt idx="5">
                  <c:v>10.805980718102505</c:v>
                </c:pt>
                <c:pt idx="6">
                  <c:v>8.6919468964487141</c:v>
                </c:pt>
                <c:pt idx="7">
                  <c:v>7.0478100107713413</c:v>
                </c:pt>
                <c:pt idx="8">
                  <c:v>5.7393700977012667</c:v>
                </c:pt>
                <c:pt idx="9">
                  <c:v>4.6718062077225611</c:v>
                </c:pt>
                <c:pt idx="10">
                  <c:v>3.7960144498248094</c:v>
                </c:pt>
                <c:pt idx="11">
                  <c:v>3.0990855835389035</c:v>
                </c:pt>
                <c:pt idx="12">
                  <c:v>2.584137621954818</c:v>
                </c:pt>
                <c:pt idx="13">
                  <c:v>2.2546641622354753</c:v>
                </c:pt>
                <c:pt idx="14">
                  <c:v>2.1086803972705876</c:v>
                </c:pt>
                <c:pt idx="15">
                  <c:v>2.1379737231286939</c:v>
                </c:pt>
                <c:pt idx="16">
                  <c:v>2.3284620744268856</c:v>
                </c:pt>
                <c:pt idx="17">
                  <c:v>2.6617663154254849</c:v>
                </c:pt>
                <c:pt idx="18">
                  <c:v>3.1181068678375028</c:v>
                </c:pt>
                <c:pt idx="19">
                  <c:v>3.6790777231510883</c:v>
                </c:pt>
                <c:pt idx="20">
                  <c:v>4.3289556227833659</c:v>
                </c:pt>
                <c:pt idx="21">
                  <c:v>5.0545512038325411</c:v>
                </c:pt>
                <c:pt idx="22">
                  <c:v>5.8445619547616747</c:v>
                </c:pt>
                <c:pt idx="23">
                  <c:v>6.6892396340386151</c:v>
                </c:pt>
                <c:pt idx="24">
                  <c:v>7.5804868823817921</c:v>
                </c:pt>
                <c:pt idx="25">
                  <c:v>8.5120490553514045</c:v>
                </c:pt>
                <c:pt idx="26">
                  <c:v>9.4794876283693608</c:v>
                </c:pt>
                <c:pt idx="27">
                  <c:v>10.479852018912144</c:v>
                </c:pt>
                <c:pt idx="28">
                  <c:v>11.51114890820357</c:v>
                </c:pt>
                <c:pt idx="29">
                  <c:v>12.571774701813526</c:v>
                </c:pt>
                <c:pt idx="30">
                  <c:v>13.660061390752231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7E-4347-8325-CD9B0C8954D7}"/>
            </c:ext>
          </c:extLst>
        </c:ser>
        <c:ser>
          <c:idx val="7"/>
          <c:order val="7"/>
          <c:val>
            <c:numRef>
              <c:f>'Log cost parameter search'!$T$23:$T$53</c:f>
              <c:numCache>
                <c:formatCode>0.00</c:formatCode>
                <c:ptCount val="31"/>
                <c:pt idx="0">
                  <c:v>34.008793202468155</c:v>
                </c:pt>
                <c:pt idx="1">
                  <c:v>27.372754741187819</c:v>
                </c:pt>
                <c:pt idx="2">
                  <c:v>21.642284961461772</c:v>
                </c:pt>
                <c:pt idx="3">
                  <c:v>17.038889035725127</c:v>
                </c:pt>
                <c:pt idx="4">
                  <c:v>13.471995507384243</c:v>
                </c:pt>
                <c:pt idx="5">
                  <c:v>10.736532286463776</c:v>
                </c:pt>
                <c:pt idx="6">
                  <c:v>8.6346868377277772</c:v>
                </c:pt>
                <c:pt idx="7">
                  <c:v>7.0000124604082687</c:v>
                </c:pt>
                <c:pt idx="8">
                  <c:v>5.6988219108755489</c:v>
                </c:pt>
                <c:pt idx="9">
                  <c:v>4.63724537407015</c:v>
                </c:pt>
                <c:pt idx="10">
                  <c:v>3.7672253085478578</c:v>
                </c:pt>
                <c:pt idx="11">
                  <c:v>3.0764686391505385</c:v>
                </c:pt>
                <c:pt idx="12">
                  <c:v>2.5681766875259981</c:v>
                </c:pt>
                <c:pt idx="13">
                  <c:v>2.2456454518069049</c:v>
                </c:pt>
                <c:pt idx="14">
                  <c:v>2.1066294717389598</c:v>
                </c:pt>
                <c:pt idx="15">
                  <c:v>2.1426456895008603</c:v>
                </c:pt>
                <c:pt idx="16">
                  <c:v>2.3393669368573904</c:v>
                </c:pt>
                <c:pt idx="17">
                  <c:v>2.678264957197046</c:v>
                </c:pt>
                <c:pt idx="18">
                  <c:v>3.1395389489849839</c:v>
                </c:pt>
                <c:pt idx="19">
                  <c:v>3.7048483609429397</c:v>
                </c:pt>
                <c:pt idx="20">
                  <c:v>4.3585524255591572</c:v>
                </c:pt>
                <c:pt idx="21">
                  <c:v>5.0875224508291987</c:v>
                </c:pt>
                <c:pt idx="22">
                  <c:v>5.8805013020018793</c:v>
                </c:pt>
                <c:pt idx="23">
                  <c:v>6.7277947113031082</c:v>
                </c:pt>
                <c:pt idx="24">
                  <c:v>7.6213788407620244</c:v>
                </c:pt>
                <c:pt idx="25">
                  <c:v>8.5550830248473257</c:v>
                </c:pt>
                <c:pt idx="26">
                  <c:v>9.5245444463308289</c:v>
                </c:pt>
                <c:pt idx="27">
                  <c:v>10.526863768158762</c:v>
                </c:pt>
                <c:pt idx="28">
                  <c:v>11.560067254520904</c:v>
                </c:pt>
                <c:pt idx="29">
                  <c:v>12.622542081730744</c:v>
                </c:pt>
                <c:pt idx="30">
                  <c:v>13.71259271446905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7E-4347-8325-CD9B0C8954D7}"/>
            </c:ext>
          </c:extLst>
        </c:ser>
        <c:ser>
          <c:idx val="8"/>
          <c:order val="8"/>
          <c:val>
            <c:numRef>
              <c:f>'Log cost parameter search'!$U$23:$U$53</c:f>
              <c:numCache>
                <c:formatCode>0.00</c:formatCode>
                <c:ptCount val="31"/>
                <c:pt idx="0">
                  <c:v>33.856163379154026</c:v>
                </c:pt>
                <c:pt idx="1">
                  <c:v>27.231759739775445</c:v>
                </c:pt>
                <c:pt idx="2">
                  <c:v>21.519770971304681</c:v>
                </c:pt>
                <c:pt idx="3">
                  <c:v>16.936536990115343</c:v>
                </c:pt>
                <c:pt idx="4">
                  <c:v>13.387742224310678</c:v>
                </c:pt>
                <c:pt idx="5">
                  <c:v>10.667385639987488</c:v>
                </c:pt>
                <c:pt idx="6">
                  <c:v>8.5776831963989828</c:v>
                </c:pt>
                <c:pt idx="7">
                  <c:v>6.9524274018719616</c:v>
                </c:pt>
                <c:pt idx="8">
                  <c:v>5.6584577158929221</c:v>
                </c:pt>
                <c:pt idx="9">
                  <c:v>4.6028674653387869</c:v>
                </c:pt>
                <c:pt idx="10">
                  <c:v>3.7386407657195111</c:v>
                </c:pt>
                <c:pt idx="11">
                  <c:v>3.0540850945579701</c:v>
                </c:pt>
                <c:pt idx="12">
                  <c:v>2.5524728674092323</c:v>
                </c:pt>
                <c:pt idx="13">
                  <c:v>2.2368982263489832</c:v>
                </c:pt>
                <c:pt idx="14">
                  <c:v>2.1048537448252072</c:v>
                </c:pt>
                <c:pt idx="15">
                  <c:v>2.1475852890864644</c:v>
                </c:pt>
                <c:pt idx="16">
                  <c:v>2.3505227892484122</c:v>
                </c:pt>
                <c:pt idx="17">
                  <c:v>2.6949938143943859</c:v>
                </c:pt>
                <c:pt idx="18">
                  <c:v>3.1611809563499209</c:v>
                </c:pt>
                <c:pt idx="19">
                  <c:v>3.7308109622522814</c:v>
                </c:pt>
                <c:pt idx="20">
                  <c:v>4.3883250101492557</c:v>
                </c:pt>
                <c:pt idx="21">
                  <c:v>5.1206542747490253</c:v>
                </c:pt>
                <c:pt idx="22">
                  <c:v>5.9165873745979356</c:v>
                </c:pt>
                <c:pt idx="23">
                  <c:v>6.7664853158762046</c:v>
                </c:pt>
                <c:pt idx="24">
                  <c:v>7.662398885926871</c:v>
                </c:pt>
                <c:pt idx="25">
                  <c:v>8.5982414907003761</c:v>
                </c:pt>
                <c:pt idx="26">
                  <c:v>9.5697250019133371</c:v>
                </c:pt>
                <c:pt idx="27">
                  <c:v>10.573999611679714</c:v>
                </c:pt>
                <c:pt idx="28">
                  <c:v>11.609109360676634</c:v>
                </c:pt>
                <c:pt idx="29">
                  <c:v>12.673430863712857</c:v>
                </c:pt>
                <c:pt idx="30">
                  <c:v>13.765240548863979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7E-4347-8325-CD9B0C8954D7}"/>
            </c:ext>
          </c:extLst>
        </c:ser>
        <c:ser>
          <c:idx val="9"/>
          <c:order val="9"/>
          <c:val>
            <c:numRef>
              <c:f>'Log cost parameter search'!$V$23:$V$53</c:f>
              <c:numCache>
                <c:formatCode>0.00</c:formatCode>
                <c:ptCount val="31"/>
                <c:pt idx="0">
                  <c:v>33.703664742831116</c:v>
                </c:pt>
                <c:pt idx="1">
                  <c:v>27.09103293140063</c:v>
                </c:pt>
                <c:pt idx="2">
                  <c:v>21.397618239665206</c:v>
                </c:pt>
                <c:pt idx="3">
                  <c:v>16.834555509932478</c:v>
                </c:pt>
                <c:pt idx="4">
                  <c:v>13.303830840337861</c:v>
                </c:pt>
                <c:pt idx="5">
                  <c:v>10.59854032148931</c:v>
                </c:pt>
                <c:pt idx="6">
                  <c:v>8.5209353525806044</c:v>
                </c:pt>
                <c:pt idx="7">
                  <c:v>6.9050543603302312</c:v>
                </c:pt>
                <c:pt idx="8">
                  <c:v>5.6182776681951321</c:v>
                </c:pt>
                <c:pt idx="9">
                  <c:v>4.5686734146397274</c:v>
                </c:pt>
                <c:pt idx="10">
                  <c:v>3.7102621787228744</c:v>
                </c:pt>
                <c:pt idx="11">
                  <c:v>3.0319362719145055</c:v>
                </c:pt>
                <c:pt idx="12">
                  <c:v>2.5370272090184813</c:v>
                </c:pt>
                <c:pt idx="13">
                  <c:v>2.2284231712001086</c:v>
                </c:pt>
                <c:pt idx="14">
                  <c:v>2.1033534616208431</c:v>
                </c:pt>
                <c:pt idx="15">
                  <c:v>2.1527923292969646</c:v>
                </c:pt>
                <c:pt idx="16">
                  <c:v>2.3619291531314901</c:v>
                </c:pt>
                <c:pt idx="17">
                  <c:v>2.7119523313277258</c:v>
                </c:pt>
                <c:pt idx="18">
                  <c:v>3.1830323820332973</c:v>
                </c:pt>
                <c:pt idx="19">
                  <c:v>3.7569650689791816</c:v>
                </c:pt>
                <c:pt idx="20">
                  <c:v>4.418272926052718</c:v>
                </c:pt>
                <c:pt idx="21">
                  <c:v>5.1539462385665633</c:v>
                </c:pt>
                <c:pt idx="22">
                  <c:v>5.9528198184759802</c:v>
                </c:pt>
                <c:pt idx="23">
                  <c:v>6.8053112570748606</c:v>
                </c:pt>
                <c:pt idx="24">
                  <c:v>7.7035470245431306</c:v>
                </c:pt>
                <c:pt idx="25">
                  <c:v>8.6415246226251625</c:v>
                </c:pt>
                <c:pt idx="26">
                  <c:v>9.6150295390227125</c:v>
                </c:pt>
                <c:pt idx="27">
                  <c:v>10.621259757184568</c:v>
                </c:pt>
                <c:pt idx="28">
                  <c:v>11.658275303723794</c:v>
                </c:pt>
                <c:pt idx="29">
                  <c:v>12.724440945219829</c:v>
                </c:pt>
                <c:pt idx="30">
                  <c:v>13.818004620223229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7E-4347-8325-CD9B0C8954D7}"/>
            </c:ext>
          </c:extLst>
        </c:ser>
        <c:ser>
          <c:idx val="10"/>
          <c:order val="10"/>
          <c:val>
            <c:numRef>
              <c:f>'Log cost parameter search'!$W$23:$W$53</c:f>
              <c:numCache>
                <c:formatCode>0.00</c:formatCode>
                <c:ptCount val="31"/>
                <c:pt idx="0">
                  <c:v>33.551299331832709</c:v>
                </c:pt>
                <c:pt idx="1">
                  <c:v>26.950576791119399</c:v>
                </c:pt>
                <c:pt idx="2">
                  <c:v>21.275827986952645</c:v>
                </c:pt>
                <c:pt idx="3">
                  <c:v>16.732944827715936</c:v>
                </c:pt>
                <c:pt idx="4">
                  <c:v>13.220261156660239</c:v>
                </c:pt>
                <c:pt idx="5">
                  <c:v>10.529995868130197</c:v>
                </c:pt>
                <c:pt idx="6">
                  <c:v>8.4644426856169037</c:v>
                </c:pt>
                <c:pt idx="7">
                  <c:v>6.8578928733741611</c:v>
                </c:pt>
                <c:pt idx="8">
                  <c:v>5.5782819474980538</c:v>
                </c:pt>
                <c:pt idx="9">
                  <c:v>4.5346641754616481</c:v>
                </c:pt>
                <c:pt idx="10">
                  <c:v>3.6820909110970912</c:v>
                </c:pt>
                <c:pt idx="11">
                  <c:v>3.0100234882399741</c:v>
                </c:pt>
                <c:pt idx="12">
                  <c:v>2.5218407497380646</c:v>
                </c:pt>
                <c:pt idx="13">
                  <c:v>2.2202209573483107</c:v>
                </c:pt>
                <c:pt idx="14">
                  <c:v>2.1021288496363422</c:v>
                </c:pt>
                <c:pt idx="15">
                  <c:v>2.1582666028177617</c:v>
                </c:pt>
                <c:pt idx="16">
                  <c:v>2.3735855432700061</c:v>
                </c:pt>
                <c:pt idx="17">
                  <c:v>2.7291399524237319</c:v>
                </c:pt>
                <c:pt idx="18">
                  <c:v>3.2050927198443109</c:v>
                </c:pt>
                <c:pt idx="19">
                  <c:v>3.7833102227920676</c:v>
                </c:pt>
                <c:pt idx="20">
                  <c:v>4.4483957219072128</c:v>
                </c:pt>
                <c:pt idx="21">
                  <c:v>5.1873979074617029</c:v>
                </c:pt>
                <c:pt idx="22">
                  <c:v>5.9891982866797919</c:v>
                </c:pt>
                <c:pt idx="23">
                  <c:v>6.8442723546080657</c:v>
                </c:pt>
                <c:pt idx="24">
                  <c:v>7.7448232731596276</c:v>
                </c:pt>
                <c:pt idx="25">
                  <c:v>8.6849325959415147</c:v>
                </c:pt>
                <c:pt idx="26">
                  <c:v>9.6604583006850913</c:v>
                </c:pt>
                <c:pt idx="27">
                  <c:v>10.668644405072559</c:v>
                </c:pt>
                <c:pt idx="28">
                  <c:v>11.707565149226225</c:v>
                </c:pt>
                <c:pt idx="29">
                  <c:v>12.775572211646288</c:v>
                </c:pt>
                <c:pt idx="30">
                  <c:v>13.870884645821628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7E-4347-8325-CD9B0C8954D7}"/>
            </c:ext>
          </c:extLst>
        </c:ser>
        <c:ser>
          <c:idx val="11"/>
          <c:order val="11"/>
          <c:val>
            <c:numRef>
              <c:f>'Log cost parameter search'!$X$23:$X$53</c:f>
              <c:numCache>
                <c:formatCode>0.00</c:formatCode>
                <c:ptCount val="31"/>
                <c:pt idx="0">
                  <c:v>33.399069206377249</c:v>
                </c:pt>
                <c:pt idx="1">
                  <c:v>26.810393788488188</c:v>
                </c:pt>
                <c:pt idx="2">
                  <c:v>21.154401414840507</c:v>
                </c:pt>
                <c:pt idx="3">
                  <c:v>16.631705166070336</c:v>
                </c:pt>
                <c:pt idx="4">
                  <c:v>13.137032967998474</c:v>
                </c:pt>
                <c:pt idx="5">
                  <c:v>10.461751811466174</c:v>
                </c:pt>
                <c:pt idx="6">
                  <c:v>8.4082045743440279</c:v>
                </c:pt>
                <c:pt idx="7">
                  <c:v>6.8109424914832841</c:v>
                </c:pt>
                <c:pt idx="8">
                  <c:v>5.5384707579382804</c:v>
                </c:pt>
                <c:pt idx="9">
                  <c:v>4.5008407213477586</c:v>
                </c:pt>
                <c:pt idx="10">
                  <c:v>3.6541283321010307</c:v>
                </c:pt>
                <c:pt idx="11">
                  <c:v>2.9883480551738706</c:v>
                </c:pt>
                <c:pt idx="12">
                  <c:v>2.5069145167402418</c:v>
                </c:pt>
                <c:pt idx="13">
                  <c:v>2.2122922412109998</c:v>
                </c:pt>
                <c:pt idx="14">
                  <c:v>2.1011801187597516</c:v>
                </c:pt>
                <c:pt idx="15">
                  <c:v>2.1640078878497251</c:v>
                </c:pt>
                <c:pt idx="16">
                  <c:v>2.3854914679837416</c:v>
                </c:pt>
                <c:pt idx="17">
                  <c:v>2.746556122372338</c:v>
                </c:pt>
                <c:pt idx="18">
                  <c:v>3.2273614652351821</c:v>
                </c:pt>
                <c:pt idx="19">
                  <c:v>3.8098459650544436</c:v>
                </c:pt>
                <c:pt idx="20">
                  <c:v>4.4786929455963786</c:v>
                </c:pt>
                <c:pt idx="21">
                  <c:v>5.2210088490846855</c:v>
                </c:pt>
                <c:pt idx="22">
                  <c:v>6.0257224396129496</c:v>
                </c:pt>
                <c:pt idx="23">
                  <c:v>6.8833684386323668</c:v>
                </c:pt>
                <c:pt idx="24">
                  <c:v>7.7862276580267142</c:v>
                </c:pt>
                <c:pt idx="25">
                  <c:v>8.7284655912144142</c:v>
                </c:pt>
                <c:pt idx="26">
                  <c:v>9.7060115286320769</c:v>
                </c:pt>
                <c:pt idx="27">
                  <c:v>10.71615374810967</c:v>
                </c:pt>
                <c:pt idx="28">
                  <c:v>11.756978951143026</c:v>
                </c:pt>
                <c:pt idx="29">
                  <c:v>12.82682453646772</c:v>
                </c:pt>
                <c:pt idx="30">
                  <c:v>13.923880334263307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7E-4347-8325-CD9B0C8954D7}"/>
            </c:ext>
          </c:extLst>
        </c:ser>
        <c:ser>
          <c:idx val="12"/>
          <c:order val="12"/>
          <c:val>
            <c:numRef>
              <c:f>'Log cost parameter search'!$Y$23:$Y$53</c:f>
              <c:numCache>
                <c:formatCode>0.00</c:formatCode>
                <c:ptCount val="31"/>
                <c:pt idx="0">
                  <c:v>33.246976448494983</c:v>
                </c:pt>
                <c:pt idx="1">
                  <c:v>26.670486387039961</c:v>
                </c:pt>
                <c:pt idx="2">
                  <c:v>21.033339706320614</c:v>
                </c:pt>
                <c:pt idx="3">
                  <c:v>16.530836737735921</c:v>
                </c:pt>
                <c:pt idx="4">
                  <c:v>13.054146062596056</c:v>
                </c:pt>
                <c:pt idx="5">
                  <c:v>10.393807677502494</c:v>
                </c:pt>
                <c:pt idx="6">
                  <c:v>8.352220397364265</c:v>
                </c:pt>
                <c:pt idx="7">
                  <c:v>6.7642027784898993</c:v>
                </c:pt>
                <c:pt idx="8">
                  <c:v>5.4988443282048882</c:v>
                </c:pt>
                <c:pt idx="9">
                  <c:v>4.4672040455626805</c:v>
                </c:pt>
                <c:pt idx="10">
                  <c:v>3.6263758162791748</c:v>
                </c:pt>
                <c:pt idx="11">
                  <c:v>2.9669112787325753</c:v>
                </c:pt>
                <c:pt idx="12">
                  <c:v>2.4922495267998479</c:v>
                </c:pt>
                <c:pt idx="13">
                  <c:v>2.2046376644172163</c:v>
                </c:pt>
                <c:pt idx="14">
                  <c:v>2.1005074612271426</c:v>
                </c:pt>
                <c:pt idx="15">
                  <c:v>2.1700159483593136</c:v>
                </c:pt>
                <c:pt idx="16">
                  <c:v>2.3976464294700119</c:v>
                </c:pt>
                <c:pt idx="17">
                  <c:v>2.7642002862633546</c:v>
                </c:pt>
                <c:pt idx="18">
                  <c:v>3.2498381152318121</c:v>
                </c:pt>
                <c:pt idx="19">
                  <c:v>3.8365718367586528</c:v>
                </c:pt>
                <c:pt idx="20">
                  <c:v>4.5091641443675154</c:v>
                </c:pt>
                <c:pt idx="21">
                  <c:v>5.2547786338238893</c:v>
                </c:pt>
                <c:pt idx="22">
                  <c:v>6.0623919452731254</c:v>
                </c:pt>
                <c:pt idx="23">
                  <c:v>6.9225993497942717</c:v>
                </c:pt>
                <c:pt idx="24">
                  <c:v>7.8277602149026073</c:v>
                </c:pt>
                <c:pt idx="25">
                  <c:v>8.7721237938878431</c:v>
                </c:pt>
                <c:pt idx="26">
                  <c:v>9.7516894628869206</c:v>
                </c:pt>
                <c:pt idx="27">
                  <c:v>10.76378797111604</c:v>
                </c:pt>
                <c:pt idx="28">
                  <c:v>11.806516751733497</c:v>
                </c:pt>
                <c:pt idx="29">
                  <c:v>12.878197781390035</c:v>
                </c:pt>
                <c:pt idx="30">
                  <c:v>13.976991385839677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7E-4347-8325-CD9B0C8954D7}"/>
            </c:ext>
          </c:extLst>
        </c:ser>
        <c:ser>
          <c:idx val="13"/>
          <c:order val="13"/>
          <c:val>
            <c:numRef>
              <c:f>'Log cost parameter search'!$Z$23:$Z$53</c:f>
              <c:numCache>
                <c:formatCode>0.00</c:formatCode>
                <c:ptCount val="31"/>
                <c:pt idx="0">
                  <c:v>33.095023161943722</c:v>
                </c:pt>
                <c:pt idx="1">
                  <c:v>26.530857043764552</c:v>
                </c:pt>
                <c:pt idx="2">
                  <c:v>20.912644025761669</c:v>
                </c:pt>
                <c:pt idx="3">
                  <c:v>16.430339745657324</c:v>
                </c:pt>
                <c:pt idx="4">
                  <c:v>12.971600222216145</c:v>
                </c:pt>
                <c:pt idx="5">
                  <c:v>10.326162986752347</c:v>
                </c:pt>
                <c:pt idx="6">
                  <c:v>8.2964895333286872</c:v>
                </c:pt>
                <c:pt idx="7">
                  <c:v>6.7176733120420016</c:v>
                </c:pt>
                <c:pt idx="8">
                  <c:v>5.459402911656289</c:v>
                </c:pt>
                <c:pt idx="9">
                  <c:v>4.4337551607493548</c:v>
                </c:pt>
                <c:pt idx="10">
                  <c:v>3.5988347430299776</c:v>
                </c:pt>
                <c:pt idx="11">
                  <c:v>2.9457144590704365</c:v>
                </c:pt>
                <c:pt idx="12">
                  <c:v>2.4778467861059421</c:v>
                </c:pt>
                <c:pt idx="13">
                  <c:v>2.1972578535928338</c:v>
                </c:pt>
                <c:pt idx="14">
                  <c:v>2.1001110516049799</c:v>
                </c:pt>
                <c:pt idx="15">
                  <c:v>2.1762905343368835</c:v>
                </c:pt>
                <c:pt idx="16">
                  <c:v>2.4100499241209543</c:v>
                </c:pt>
                <c:pt idx="17">
                  <c:v>2.7820718897129155</c:v>
                </c:pt>
                <c:pt idx="18">
                  <c:v>3.2725221683608261</c:v>
                </c:pt>
                <c:pt idx="19">
                  <c:v>3.8634873784671004</c:v>
                </c:pt>
                <c:pt idx="20">
                  <c:v>4.5398088649594701</c:v>
                </c:pt>
                <c:pt idx="21">
                  <c:v>5.2887068350757573</c:v>
                </c:pt>
                <c:pt idx="22">
                  <c:v>6.0992064794782213</c:v>
                </c:pt>
                <c:pt idx="23">
                  <c:v>6.9619649392584577</c:v>
                </c:pt>
                <c:pt idx="24">
                  <c:v>7.8694209888475788</c:v>
                </c:pt>
                <c:pt idx="25">
                  <c:v>8.8159073939113703</c:v>
                </c:pt>
                <c:pt idx="26">
                  <c:v>9.7974923413550616</c:v>
                </c:pt>
                <c:pt idx="27">
                  <c:v>10.811547250663088</c:v>
                </c:pt>
                <c:pt idx="28">
                  <c:v>11.856178581474241</c:v>
                </c:pt>
                <c:pt idx="29">
                  <c:v>12.929691796524745</c:v>
                </c:pt>
                <c:pt idx="30">
                  <c:v>14.03021749288795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7E-4347-8325-CD9B0C8954D7}"/>
            </c:ext>
          </c:extLst>
        </c:ser>
        <c:ser>
          <c:idx val="14"/>
          <c:order val="14"/>
          <c:val>
            <c:numRef>
              <c:f>'Log cost parameter search'!$AA$23:$AA$53</c:f>
              <c:numCache>
                <c:formatCode>0.00</c:formatCode>
                <c:ptCount val="31"/>
                <c:pt idx="0">
                  <c:v>32.943211472113582</c:v>
                </c:pt>
                <c:pt idx="1">
                  <c:v>26.391508208593436</c:v>
                </c:pt>
                <c:pt idx="2">
                  <c:v>20.792315518971947</c:v>
                </c:pt>
                <c:pt idx="3">
                  <c:v>16.330214383050834</c:v>
                </c:pt>
                <c:pt idx="4">
                  <c:v>12.889395222138713</c:v>
                </c:pt>
                <c:pt idx="5">
                  <c:v>10.258817254300226</c:v>
                </c:pt>
                <c:pt idx="6">
                  <c:v>8.2410113612282032</c:v>
                </c:pt>
                <c:pt idx="7">
                  <c:v>6.6713536840642833</c:v>
                </c:pt>
                <c:pt idx="8">
                  <c:v>5.4201467864220216</c:v>
                </c:pt>
                <c:pt idx="9">
                  <c:v>4.4004950985762932</c:v>
                </c:pt>
                <c:pt idx="10">
                  <c:v>3.5715064961769833</c:v>
                </c:pt>
                <c:pt idx="11">
                  <c:v>2.924758890244465</c:v>
                </c:pt>
                <c:pt idx="12">
                  <c:v>2.4637072900705088</c:v>
                </c:pt>
                <c:pt idx="13">
                  <c:v>2.1901534201491861</c:v>
                </c:pt>
                <c:pt idx="14">
                  <c:v>2.0999910467845755</c:v>
                </c:pt>
                <c:pt idx="15">
                  <c:v>2.1828313820627532</c:v>
                </c:pt>
                <c:pt idx="16">
                  <c:v>2.4227014428364724</c:v>
                </c:pt>
                <c:pt idx="17">
                  <c:v>2.800170378979804</c:v>
                </c:pt>
                <c:pt idx="18">
                  <c:v>3.2954131245735532</c:v>
                </c:pt>
                <c:pt idx="19">
                  <c:v>3.8905921302613145</c:v>
                </c:pt>
                <c:pt idx="20">
                  <c:v>4.5706266537404643</c:v>
                </c:pt>
                <c:pt idx="21">
                  <c:v>5.3227930295164434</c:v>
                </c:pt>
                <c:pt idx="22">
                  <c:v>6.1361657260839433</c:v>
                </c:pt>
                <c:pt idx="23">
                  <c:v>7.0014650687224353</c:v>
                </c:pt>
                <c:pt idx="24">
                  <c:v>7.9112100340056655</c:v>
                </c:pt>
                <c:pt idx="25">
                  <c:v>8.8598165853623048</c:v>
                </c:pt>
                <c:pt idx="26">
                  <c:v>9.8434203994164822</c:v>
                </c:pt>
                <c:pt idx="27">
                  <c:v>10.859431754786423</c:v>
                </c:pt>
                <c:pt idx="28">
                  <c:v>11.90596445899641</c:v>
                </c:pt>
                <c:pt idx="29">
                  <c:v>12.981306420570672</c:v>
                </c:pt>
                <c:pt idx="30">
                  <c:v>14.083558340165883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7E-4347-8325-CD9B0C8954D7}"/>
            </c:ext>
          </c:extLst>
        </c:ser>
        <c:ser>
          <c:idx val="15"/>
          <c:order val="15"/>
          <c:val>
            <c:numRef>
              <c:f>'Log cost parameter search'!$AB$23:$AB$53</c:f>
              <c:numCache>
                <c:formatCode>0.00</c:formatCode>
                <c:ptCount val="31"/>
                <c:pt idx="0">
                  <c:v>32.791543525920616</c:v>
                </c:pt>
                <c:pt idx="1">
                  <c:v>26.252442323889568</c:v>
                </c:pt>
                <c:pt idx="2">
                  <c:v>20.672355313266099</c:v>
                </c:pt>
                <c:pt idx="3">
                  <c:v>16.230460833470019</c:v>
                </c:pt>
                <c:pt idx="4">
                  <c:v>12.807530831158056</c:v>
                </c:pt>
                <c:pt idx="5">
                  <c:v>10.191769989870107</c:v>
                </c:pt>
                <c:pt idx="6">
                  <c:v>8.1857852606930432</c:v>
                </c:pt>
                <c:pt idx="7">
                  <c:v>6.6252435012166915</c:v>
                </c:pt>
                <c:pt idx="8">
                  <c:v>5.381076255489325</c:v>
                </c:pt>
                <c:pt idx="9">
                  <c:v>4.36742490937554</c:v>
                </c:pt>
                <c:pt idx="10">
                  <c:v>3.5443924635429411</c:v>
                </c:pt>
                <c:pt idx="11">
                  <c:v>2.9040458599824239</c:v>
                </c:pt>
                <c:pt idx="12">
                  <c:v>2.4498320231342108</c:v>
                </c:pt>
                <c:pt idx="13">
                  <c:v>2.1833249600755558</c:v>
                </c:pt>
                <c:pt idx="14">
                  <c:v>2.1001475859886845</c:v>
                </c:pt>
                <c:pt idx="15">
                  <c:v>2.1896382143805866</c:v>
                </c:pt>
                <c:pt idx="16">
                  <c:v>2.4356004713323913</c:v>
                </c:pt>
                <c:pt idx="17">
                  <c:v>2.8184952010717779</c:v>
                </c:pt>
                <c:pt idx="18">
                  <c:v>3.3185104851674421</c:v>
                </c:pt>
                <c:pt idx="19">
                  <c:v>3.9178856316991579</c:v>
                </c:pt>
                <c:pt idx="20">
                  <c:v>4.6016170568555017</c:v>
                </c:pt>
                <c:pt idx="21">
                  <c:v>5.3570367973743709</c:v>
                </c:pt>
                <c:pt idx="22">
                  <c:v>6.1732693771919251</c:v>
                </c:pt>
                <c:pt idx="23">
                  <c:v>7.0410996104174508</c:v>
                </c:pt>
                <c:pt idx="24">
                  <c:v>7.9531274133745589</c:v>
                </c:pt>
                <c:pt idx="25">
                  <c:v>8.9038515660610571</c:v>
                </c:pt>
                <c:pt idx="26">
                  <c:v>9.8894738695229609</c:v>
                </c:pt>
                <c:pt idx="27">
                  <c:v>10.907441642705441</c:v>
                </c:pt>
                <c:pt idx="28">
                  <c:v>11.955874391039318</c:v>
                </c:pt>
                <c:pt idx="29">
                  <c:v>13.033041481022185</c:v>
                </c:pt>
                <c:pt idx="30">
                  <c:v>14.137013605235243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7E-4347-8325-CD9B0C8954D7}"/>
            </c:ext>
          </c:extLst>
        </c:ser>
        <c:ser>
          <c:idx val="16"/>
          <c:order val="16"/>
          <c:val>
            <c:numRef>
              <c:f>'Log cost parameter search'!$AC$23:$AC$53</c:f>
              <c:numCache>
                <c:formatCode>0.00</c:formatCode>
                <c:ptCount val="31"/>
                <c:pt idx="0">
                  <c:v>32.640021491688962</c:v>
                </c:pt>
                <c:pt idx="1">
                  <c:v>26.11366182394239</c:v>
                </c:pt>
                <c:pt idx="2">
                  <c:v>20.552764517535728</c:v>
                </c:pt>
                <c:pt idx="3">
                  <c:v>16.131079270869858</c:v>
                </c:pt>
                <c:pt idx="4">
                  <c:v>12.726006811580801</c:v>
                </c:pt>
                <c:pt idx="5">
                  <c:v>10.125020697898528</c:v>
                </c:pt>
                <c:pt idx="6">
                  <c:v>8.1308106123006301</c:v>
                </c:pt>
                <c:pt idx="7">
                  <c:v>6.5793423853499995</c:v>
                </c:pt>
                <c:pt idx="8">
                  <c:v>5.342191646774479</c:v>
                </c:pt>
                <c:pt idx="9">
                  <c:v>4.3345456617716289</c:v>
                </c:pt>
                <c:pt idx="10">
                  <c:v>3.5174940365271765</c:v>
                </c:pt>
                <c:pt idx="11">
                  <c:v>2.8835766494540542</c:v>
                </c:pt>
                <c:pt idx="12">
                  <c:v>2.4362219585692677</c:v>
                </c:pt>
                <c:pt idx="13">
                  <c:v>2.1767730537360164</c:v>
                </c:pt>
                <c:pt idx="14">
                  <c:v>2.1005807907903145</c:v>
                </c:pt>
                <c:pt idx="15">
                  <c:v>2.1967107409776441</c:v>
                </c:pt>
                <c:pt idx="16">
                  <c:v>2.4487464904434151</c:v>
                </c:pt>
                <c:pt idx="17">
                  <c:v>2.8370458038420221</c:v>
                </c:pt>
                <c:pt idx="18">
                  <c:v>3.3418137527054963</c:v>
                </c:pt>
                <c:pt idx="19">
                  <c:v>3.9453674217804648</c:v>
                </c:pt>
                <c:pt idx="20">
                  <c:v>4.6327796203832126</c:v>
                </c:pt>
                <c:pt idx="21">
                  <c:v>5.3914377227033476</c:v>
                </c:pt>
                <c:pt idx="22">
                  <c:v>6.2105171333486382</c:v>
                </c:pt>
                <c:pt idx="23">
                  <c:v>7.0808684470956065</c:v>
                </c:pt>
                <c:pt idx="24">
                  <c:v>7.9951731985638164</c:v>
                </c:pt>
                <c:pt idx="25">
                  <c:v>8.9480125371828212</c:v>
                </c:pt>
                <c:pt idx="26">
                  <c:v>9.9356529807985279</c:v>
                </c:pt>
                <c:pt idx="27">
                  <c:v>10.955577064563577</c:v>
                </c:pt>
                <c:pt idx="28">
                  <c:v>12.005908372417757</c:v>
                </c:pt>
                <c:pt idx="29">
                  <c:v>13.084896794380647</c:v>
                </c:pt>
                <c:pt idx="30">
                  <c:v>14.190582958846324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7E-4347-8325-CD9B0C8954D7}"/>
            </c:ext>
          </c:extLst>
        </c:ser>
        <c:ser>
          <c:idx val="17"/>
          <c:order val="17"/>
          <c:val>
            <c:numRef>
              <c:f>'Log cost parameter search'!$AD$23:$AD$53</c:f>
              <c:numCache>
                <c:formatCode>0.00</c:formatCode>
                <c:ptCount val="31"/>
                <c:pt idx="0">
                  <c:v>32.488647559021622</c:v>
                </c:pt>
                <c:pt idx="1">
                  <c:v>25.975169134468615</c:v>
                </c:pt>
                <c:pt idx="2">
                  <c:v>20.4335442223237</c:v>
                </c:pt>
                <c:pt idx="3">
                  <c:v>16.032069859669264</c:v>
                </c:pt>
                <c:pt idx="4">
                  <c:v>12.644822919224399</c:v>
                </c:pt>
                <c:pt idx="5">
                  <c:v>10.058568877612712</c:v>
                </c:pt>
                <c:pt idx="6">
                  <c:v>8.0760867978918593</c:v>
                </c:pt>
                <c:pt idx="7">
                  <c:v>6.5336499739578473</c:v>
                </c:pt>
                <c:pt idx="8">
                  <c:v>5.303493313178743</c:v>
                </c:pt>
                <c:pt idx="9">
                  <c:v>4.3018584423019144</c:v>
                </c:pt>
                <c:pt idx="10">
                  <c:v>3.4908126096864449</c:v>
                </c:pt>
                <c:pt idx="11">
                  <c:v>2.8633525330451968</c:v>
                </c:pt>
                <c:pt idx="12">
                  <c:v>2.4228780582795184</c:v>
                </c:pt>
                <c:pt idx="13">
                  <c:v>2.1704982656710525</c:v>
                </c:pt>
                <c:pt idx="14">
                  <c:v>2.1012907651438009</c:v>
                </c:pt>
                <c:pt idx="15">
                  <c:v>2.2040486586714376</c:v>
                </c:pt>
                <c:pt idx="16">
                  <c:v>2.4621389764204431</c:v>
                </c:pt>
                <c:pt idx="17">
                  <c:v>2.8558216360758686</c:v>
                </c:pt>
                <c:pt idx="18">
                  <c:v>3.3653224309342851</c:v>
                </c:pt>
                <c:pt idx="19">
                  <c:v>3.9730370389214489</c:v>
                </c:pt>
                <c:pt idx="20">
                  <c:v>4.664113890501695</c:v>
                </c:pt>
                <c:pt idx="21">
                  <c:v>5.4259953936554419</c:v>
                </c:pt>
                <c:pt idx="22">
                  <c:v>6.2479087037341907</c:v>
                </c:pt>
                <c:pt idx="23">
                  <c:v>7.1207714720025361</c:v>
                </c:pt>
                <c:pt idx="24">
                  <c:v>8.0373474695415403</c:v>
                </c:pt>
                <c:pt idx="25">
                  <c:v>8.992299702864976</c:v>
                </c:pt>
                <c:pt idx="26">
                  <c:v>9.9819579586476888</c:v>
                </c:pt>
                <c:pt idx="27">
                  <c:v>11.00383816117437</c:v>
                </c:pt>
                <c:pt idx="28">
                  <c:v>12.056066386011487</c:v>
                </c:pt>
                <c:pt idx="29">
                  <c:v>13.13687216638427</c:v>
                </c:pt>
                <c:pt idx="30">
                  <c:v>14.244266065332143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7E-4347-8325-CD9B0C8954D7}"/>
            </c:ext>
          </c:extLst>
        </c:ser>
        <c:ser>
          <c:idx val="18"/>
          <c:order val="18"/>
          <c:val>
            <c:numRef>
              <c:f>'Log cost parameter search'!$AE$23:$AE$53</c:f>
              <c:numCache>
                <c:formatCode>0.00</c:formatCode>
                <c:ptCount val="31"/>
                <c:pt idx="0">
                  <c:v>32.337423938659441</c:v>
                </c:pt>
                <c:pt idx="1">
                  <c:v>25.836966672119054</c:v>
                </c:pt>
                <c:pt idx="2">
                  <c:v>20.314695499901863</c:v>
                </c:pt>
                <c:pt idx="3">
                  <c:v>15.933432754812141</c:v>
                </c:pt>
                <c:pt idx="4">
                  <c:v>12.563978903416274</c:v>
                </c:pt>
                <c:pt idx="5">
                  <c:v>9.992414023113886</c:v>
                </c:pt>
                <c:pt idx="6">
                  <c:v>8.0216132008956826</c:v>
                </c:pt>
                <c:pt idx="7">
                  <c:v>6.4881659206247271</c:v>
                </c:pt>
                <c:pt idx="8">
                  <c:v>5.2649816326288752</c:v>
                </c:pt>
                <c:pt idx="9">
                  <c:v>4.2693643550286193</c:v>
                </c:pt>
                <c:pt idx="10">
                  <c:v>3.4643495803194693</c:v>
                </c:pt>
                <c:pt idx="11">
                  <c:v>2.8433747781345646</c:v>
                </c:pt>
                <c:pt idx="12">
                  <c:v>2.4098012725977833</c:v>
                </c:pt>
                <c:pt idx="13">
                  <c:v>2.1645011444044293</c:v>
                </c:pt>
                <c:pt idx="14">
                  <c:v>2.1022775954281503</c:v>
                </c:pt>
                <c:pt idx="15">
                  <c:v>2.2116516517023133</c:v>
                </c:pt>
                <c:pt idx="16">
                  <c:v>2.4757774012218738</c:v>
                </c:pt>
                <c:pt idx="17">
                  <c:v>2.8748221475679521</c:v>
                </c:pt>
                <c:pt idx="18">
                  <c:v>3.3890360247010172</c:v>
                </c:pt>
                <c:pt idx="19">
                  <c:v>4.0008940209380484</c:v>
                </c:pt>
                <c:pt idx="20">
                  <c:v>4.6956194136631009</c:v>
                </c:pt>
                <c:pt idx="21">
                  <c:v>5.4607094027530811</c:v>
                </c:pt>
                <c:pt idx="22">
                  <c:v>6.2854438063407274</c:v>
                </c:pt>
                <c:pt idx="23">
                  <c:v>7.1608085888369084</c:v>
                </c:pt>
                <c:pt idx="24">
                  <c:v>8.0796503143702978</c:v>
                </c:pt>
                <c:pt idx="25">
                  <c:v>9.036713269809777</c:v>
                </c:pt>
                <c:pt idx="26">
                  <c:v>10.028389024366152</c:v>
                </c:pt>
                <c:pt idx="27">
                  <c:v>11.052225063786967</c:v>
                </c:pt>
                <c:pt idx="28">
                  <c:v>12.106348402769965</c:v>
                </c:pt>
                <c:pt idx="29">
                  <c:v>13.188967392259109</c:v>
                </c:pt>
                <c:pt idx="30">
                  <c:v>14.298062583018995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7E-4347-8325-CD9B0C8954D7}"/>
            </c:ext>
          </c:extLst>
        </c:ser>
        <c:ser>
          <c:idx val="19"/>
          <c:order val="19"/>
          <c:val>
            <c:numRef>
              <c:f>'Log cost parameter search'!$AF$23:$AF$53</c:f>
              <c:numCache>
                <c:formatCode>0.00</c:formatCode>
                <c:ptCount val="31"/>
                <c:pt idx="0">
                  <c:v>32.18635286232837</c:v>
                </c:pt>
                <c:pt idx="1">
                  <c:v>25.69905684399183</c:v>
                </c:pt>
                <c:pt idx="2">
                  <c:v>20.196219404352085</c:v>
                </c:pt>
                <c:pt idx="3">
                  <c:v>15.835168101826859</c:v>
                </c:pt>
                <c:pt idx="4">
                  <c:v>12.483474506993659</c:v>
                </c:pt>
                <c:pt idx="5">
                  <c:v>9.9265556234658892</c:v>
                </c:pt>
                <c:pt idx="6">
                  <c:v>7.9673892066620198</c:v>
                </c:pt>
                <c:pt idx="7">
                  <c:v>6.4428898954693707</c:v>
                </c:pt>
                <c:pt idx="8">
                  <c:v>5.2266570081021637</c:v>
                </c:pt>
                <c:pt idx="9">
                  <c:v>4.2370645211429476</c:v>
                </c:pt>
                <c:pt idx="10">
                  <c:v>3.4381063480553755</c:v>
                </c:pt>
                <c:pt idx="11">
                  <c:v>2.8236446448728887</c:v>
                </c:pt>
                <c:pt idx="12">
                  <c:v>2.3969925400806411</c:v>
                </c:pt>
                <c:pt idx="13">
                  <c:v>2.1587822222557569</c:v>
                </c:pt>
                <c:pt idx="14">
                  <c:v>2.1035413505026455</c:v>
                </c:pt>
                <c:pt idx="15">
                  <c:v>2.2195193920314886</c:v>
                </c:pt>
                <c:pt idx="16">
                  <c:v>2.4896612327984999</c:v>
                </c:pt>
                <c:pt idx="17">
                  <c:v>2.8940467891900821</c:v>
                </c:pt>
                <c:pt idx="18">
                  <c:v>3.4129540398703204</c:v>
                </c:pt>
                <c:pt idx="19">
                  <c:v>4.0289379050384815</c:v>
                </c:pt>
                <c:pt idx="20">
                  <c:v>4.7272957367764965</c:v>
                </c:pt>
                <c:pt idx="21">
                  <c:v>5.4955793471598771</c:v>
                </c:pt>
                <c:pt idx="22">
                  <c:v>6.3231221681402605</c:v>
                </c:pt>
                <c:pt idx="23">
                  <c:v>7.200979711695501</c:v>
                </c:pt>
                <c:pt idx="24">
                  <c:v>8.1220818289319414</c:v>
                </c:pt>
                <c:pt idx="25">
                  <c:v>9.0812534468857109</c:v>
                </c:pt>
                <c:pt idx="26">
                  <c:v>10.074946394760547</c:v>
                </c:pt>
                <c:pt idx="27">
                  <c:v>11.10073789386283</c:v>
                </c:pt>
                <c:pt idx="28">
                  <c:v>12.156754381731927</c:v>
                </c:pt>
                <c:pt idx="29">
                  <c:v>13.241182256971799</c:v>
                </c:pt>
                <c:pt idx="30">
                  <c:v>14.351972164625055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7E-4347-8325-CD9B0C8954D7}"/>
            </c:ext>
          </c:extLst>
        </c:ser>
        <c:ser>
          <c:idx val="20"/>
          <c:order val="20"/>
          <c:val>
            <c:numRef>
              <c:f>'Log cost parameter search'!$AG$23:$AG$53</c:f>
              <c:numCache>
                <c:formatCode>0.00</c:formatCode>
                <c:ptCount val="31"/>
                <c:pt idx="0">
                  <c:v>32.03543658257481</c:v>
                </c:pt>
                <c:pt idx="1">
                  <c:v>25.561442047152362</c:v>
                </c:pt>
                <c:pt idx="2">
                  <c:v>20.078116971650463</c:v>
                </c:pt>
                <c:pt idx="3">
                  <c:v>15.737276036884319</c:v>
                </c:pt>
                <c:pt idx="4">
                  <c:v>12.403309466304242</c:v>
                </c:pt>
                <c:pt idx="5">
                  <c:v>9.8609931627891818</c:v>
                </c:pt>
                <c:pt idx="6">
                  <c:v>7.9134142028028522</c:v>
                </c:pt>
                <c:pt idx="7">
                  <c:v>6.3978215855830189</c:v>
                </c:pt>
                <c:pt idx="8">
                  <c:v>5.1885198676359376</c:v>
                </c:pt>
                <c:pt idx="9">
                  <c:v>4.204960078561637</c:v>
                </c:pt>
                <c:pt idx="10">
                  <c:v>3.4120843144461945</c:v>
                </c:pt>
                <c:pt idx="11">
                  <c:v>2.8041633859642228</c:v>
                </c:pt>
                <c:pt idx="12">
                  <c:v>2.3844527873007588</c:v>
                </c:pt>
                <c:pt idx="13">
                  <c:v>2.15334201515918</c:v>
                </c:pt>
                <c:pt idx="14">
                  <c:v>2.1050820817746922</c:v>
                </c:pt>
                <c:pt idx="15">
                  <c:v>2.2276515396440222</c:v>
                </c:pt>
                <c:pt idx="16">
                  <c:v>2.503789935371648</c:v>
                </c:pt>
                <c:pt idx="17">
                  <c:v>2.9134950129499479</c:v>
                </c:pt>
                <c:pt idx="18">
                  <c:v>3.4370759832411828</c:v>
                </c:pt>
                <c:pt idx="19">
                  <c:v>4.0571682278252004</c:v>
                </c:pt>
                <c:pt idx="20">
                  <c:v>4.7591424073986621</c:v>
                </c:pt>
                <c:pt idx="21">
                  <c:v>5.5306048289494516</c:v>
                </c:pt>
                <c:pt idx="22">
                  <c:v>6.3609435252413551</c:v>
                </c:pt>
                <c:pt idx="23">
                  <c:v>7.2412847650044609</c:v>
                </c:pt>
                <c:pt idx="24">
                  <c:v>8.1646421166424048</c:v>
                </c:pt>
                <c:pt idx="25">
                  <c:v>9.1259204447245779</c:v>
                </c:pt>
                <c:pt idx="26">
                  <c:v>10.121630281773676</c:v>
                </c:pt>
                <c:pt idx="27">
                  <c:v>11.149376762868327</c:v>
                </c:pt>
                <c:pt idx="28">
                  <c:v>12.207284270062624</c:v>
                </c:pt>
                <c:pt idx="29">
                  <c:v>13.293516535506102</c:v>
                </c:pt>
                <c:pt idx="30">
                  <c:v>14.405994457683633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7E-4347-8325-CD9B0C8954D7}"/>
            </c:ext>
          </c:extLst>
        </c:ser>
        <c:ser>
          <c:idx val="21"/>
          <c:order val="21"/>
          <c:val>
            <c:numRef>
              <c:f>'Log cost parameter search'!$AH$23:$AH$53</c:f>
              <c:numCache>
                <c:formatCode>0.00</c:formatCode>
                <c:ptCount val="31"/>
                <c:pt idx="0">
                  <c:v>31.884677372588815</c:v>
                </c:pt>
                <c:pt idx="1">
                  <c:v>25.42412466816041</c:v>
                </c:pt>
                <c:pt idx="2">
                  <c:v>19.960389219754379</c:v>
                </c:pt>
                <c:pt idx="3">
                  <c:v>15.639756686854447</c:v>
                </c:pt>
                <c:pt idx="4">
                  <c:v>12.323483511207698</c:v>
                </c:pt>
                <c:pt idx="5">
                  <c:v>9.7957261203604613</c:v>
                </c:pt>
                <c:pt idx="6">
                  <c:v>7.8596875795414336</c:v>
                </c:pt>
                <c:pt idx="7">
                  <c:v>6.3529606954620146</c:v>
                </c:pt>
                <c:pt idx="8">
                  <c:v>5.1505706643215321</c:v>
                </c:pt>
                <c:pt idx="9">
                  <c:v>4.173052181516308</c:v>
                </c:pt>
                <c:pt idx="10">
                  <c:v>3.3862848825636136</c:v>
                </c:pt>
                <c:pt idx="11">
                  <c:v>2.784932246449126</c:v>
                </c:pt>
                <c:pt idx="12">
                  <c:v>2.3721829286369509</c:v>
                </c:pt>
                <c:pt idx="13">
                  <c:v>2.148181022488636</c:v>
                </c:pt>
                <c:pt idx="14">
                  <c:v>2.1068998232798264</c:v>
                </c:pt>
                <c:pt idx="15">
                  <c:v>2.2360477428562553</c:v>
                </c:pt>
                <c:pt idx="16">
                  <c:v>2.5181629697042154</c:v>
                </c:pt>
                <c:pt idx="17">
                  <c:v>2.9331662720410252</c:v>
                </c:pt>
                <c:pt idx="18">
                  <c:v>3.4614013624646507</c:v>
                </c:pt>
                <c:pt idx="19">
                  <c:v>4.0855845253063459</c:v>
                </c:pt>
                <c:pt idx="20">
                  <c:v>4.7911589739324745</c:v>
                </c:pt>
                <c:pt idx="21">
                  <c:v>5.5657854553717208</c:v>
                </c:pt>
                <c:pt idx="22">
                  <c:v>6.3989076230343827</c:v>
                </c:pt>
                <c:pt idx="23">
                  <c:v>7.2817236834369696</c:v>
                </c:pt>
                <c:pt idx="24">
                  <c:v>8.207331288156384</c:v>
                </c:pt>
                <c:pt idx="25">
                  <c:v>9.1707144753179968</c:v>
                </c:pt>
                <c:pt idx="26">
                  <c:v>10.16844089211744</c:v>
                </c:pt>
                <c:pt idx="27">
                  <c:v>11.198141772081328</c:v>
                </c:pt>
                <c:pt idx="28">
                  <c:v>12.257938003113106</c:v>
                </c:pt>
                <c:pt idx="29">
                  <c:v>13.34596999314096</c:v>
                </c:pt>
                <c:pt idx="30">
                  <c:v>14.46012910495404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7E-4347-8325-CD9B0C8954D7}"/>
            </c:ext>
          </c:extLst>
        </c:ser>
        <c:ser>
          <c:idx val="22"/>
          <c:order val="22"/>
          <c:val>
            <c:numRef>
              <c:f>'Log cost parameter search'!$AI$23:$AI$53</c:f>
              <c:numCache>
                <c:formatCode>0.00</c:formatCode>
                <c:ptCount val="31"/>
                <c:pt idx="0">
                  <c:v>31.734077526015174</c:v>
                </c:pt>
                <c:pt idx="1">
                  <c:v>25.287107082604546</c:v>
                </c:pt>
                <c:pt idx="2">
                  <c:v>19.843037148692396</c:v>
                </c:pt>
                <c:pt idx="3">
                  <c:v>15.542610169361327</c:v>
                </c:pt>
                <c:pt idx="4">
                  <c:v>12.243996365078205</c:v>
                </c:pt>
                <c:pt idx="5">
                  <c:v>9.7307539707179078</c:v>
                </c:pt>
                <c:pt idx="6">
                  <c:v>7.8062087300695131</c:v>
                </c:pt>
                <c:pt idx="7">
                  <c:v>6.3083069474342492</c:v>
                </c:pt>
                <c:pt idx="8">
                  <c:v>5.1128098762827197</c:v>
                </c:pt>
                <c:pt idx="9">
                  <c:v>4.1413420001359968</c:v>
                </c:pt>
                <c:pt idx="10">
                  <c:v>3.3607094566000999</c:v>
                </c:pt>
                <c:pt idx="11">
                  <c:v>2.765952463489481</c:v>
                </c:pt>
                <c:pt idx="12">
                  <c:v>2.3601838660621621</c:v>
                </c:pt>
                <c:pt idx="13">
                  <c:v>2.1432997268900951</c:v>
                </c:pt>
                <c:pt idx="14">
                  <c:v>2.108994591773822</c:v>
                </c:pt>
                <c:pt idx="15">
                  <c:v>2.2447076386271805</c:v>
                </c:pt>
                <c:pt idx="16">
                  <c:v>2.5327797933642997</c:v>
                </c:pt>
                <c:pt idx="17">
                  <c:v>2.9530600208839002</c:v>
                </c:pt>
                <c:pt idx="18">
                  <c:v>3.4859296859628017</c:v>
                </c:pt>
                <c:pt idx="19">
                  <c:v>4.1141863329169235</c:v>
                </c:pt>
                <c:pt idx="20">
                  <c:v>4.8233449858322954</c:v>
                </c:pt>
                <c:pt idx="21">
                  <c:v>5.6011208391161329</c:v>
                </c:pt>
                <c:pt idx="22">
                  <c:v>6.4370142163251804</c:v>
                </c:pt>
                <c:pt idx="23">
                  <c:v>7.322296411816863</c:v>
                </c:pt>
                <c:pt idx="24">
                  <c:v>8.2501494610627013</c:v>
                </c:pt>
                <c:pt idx="25">
                  <c:v>9.2156357516111882</c:v>
                </c:pt>
                <c:pt idx="26">
                  <c:v>10.215378426914102</c:v>
                </c:pt>
                <c:pt idx="27">
                  <c:v>11.247033012413647</c:v>
                </c:pt>
                <c:pt idx="28">
                  <c:v>12.308715504487743</c:v>
                </c:pt>
                <c:pt idx="29">
                  <c:v>13.398542385755452</c:v>
                </c:pt>
                <c:pt idx="30">
                  <c:v>14.514375744850271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7E-4347-8325-CD9B0C8954D7}"/>
            </c:ext>
          </c:extLst>
        </c:ser>
        <c:ser>
          <c:idx val="23"/>
          <c:order val="23"/>
          <c:val>
            <c:numRef>
              <c:f>'Log cost parameter search'!$AJ$23:$AJ$53</c:f>
              <c:numCache>
                <c:formatCode>0.00</c:formatCode>
                <c:ptCount val="31"/>
                <c:pt idx="0">
                  <c:v>31.583639356752297</c:v>
                </c:pt>
                <c:pt idx="1">
                  <c:v>25.15039165464427</c:v>
                </c:pt>
                <c:pt idx="2">
                  <c:v>19.726061740656796</c:v>
                </c:pt>
                <c:pt idx="3">
                  <c:v>15.445836592836855</c:v>
                </c:pt>
                <c:pt idx="4">
                  <c:v>12.164847744808043</c:v>
                </c:pt>
                <c:pt idx="5">
                  <c:v>9.6660761837722493</c:v>
                </c:pt>
                <c:pt idx="6">
                  <c:v>7.7529770509124409</c:v>
                </c:pt>
                <c:pt idx="7">
                  <c:v>6.2638600820788488</c:v>
                </c:pt>
                <c:pt idx="8">
                  <c:v>5.0752380066385978</c:v>
                </c:pt>
                <c:pt idx="9">
                  <c:v>4.1098307200232602</c:v>
                </c:pt>
                <c:pt idx="10">
                  <c:v>3.3353594414745462</c:v>
                </c:pt>
                <c:pt idx="11">
                  <c:v>2.7472252661547127</c:v>
                </c:pt>
                <c:pt idx="12">
                  <c:v>2.3484564889295609</c:v>
                </c:pt>
                <c:pt idx="13">
                  <c:v>2.138698594121204</c:v>
                </c:pt>
                <c:pt idx="14">
                  <c:v>2.1113663868367745</c:v>
                </c:pt>
                <c:pt idx="15">
                  <c:v>2.2536308528732527</c:v>
                </c:pt>
                <c:pt idx="16">
                  <c:v>2.5476398609811346</c:v>
                </c:pt>
                <c:pt idx="17">
                  <c:v>2.9731757151593547</c:v>
                </c:pt>
                <c:pt idx="18">
                  <c:v>3.5106604628495255</c:v>
                </c:pt>
                <c:pt idx="19">
                  <c:v>4.1429731855497138</c:v>
                </c:pt>
                <c:pt idx="20">
                  <c:v>4.8556999938160388</c:v>
                </c:pt>
                <c:pt idx="21">
                  <c:v>5.6366105985711616</c:v>
                </c:pt>
                <c:pt idx="22">
                  <c:v>6.4752630694566378</c:v>
                </c:pt>
                <c:pt idx="23">
                  <c:v>7.3630029050089014</c:v>
                </c:pt>
                <c:pt idx="24">
                  <c:v>8.2930967595696927</c:v>
                </c:pt>
                <c:pt idx="25">
                  <c:v>9.2606844870977287</c:v>
                </c:pt>
                <c:pt idx="26">
                  <c:v>10.2624430813465</c:v>
                </c:pt>
                <c:pt idx="27">
                  <c:v>11.29605056424889</c:v>
                </c:pt>
                <c:pt idx="28">
                  <c:v>12.359616686136839</c:v>
                </c:pt>
                <c:pt idx="29">
                  <c:v>13.451233460133983</c:v>
                </c:pt>
                <c:pt idx="30">
                  <c:v>14.568734011866802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7E-4347-8325-CD9B0C8954D7}"/>
            </c:ext>
          </c:extLst>
        </c:ser>
        <c:ser>
          <c:idx val="24"/>
          <c:order val="24"/>
          <c:val>
            <c:numRef>
              <c:f>'Log cost parameter search'!$AK$23:$AK$53</c:f>
              <c:numCache>
                <c:formatCode>0.00</c:formatCode>
                <c:ptCount val="31"/>
                <c:pt idx="0">
                  <c:v>31.433365198738649</c:v>
                </c:pt>
                <c:pt idx="1">
                  <c:v>25.013980736560175</c:v>
                </c:pt>
                <c:pt idx="2">
                  <c:v>19.609463960098477</c:v>
                </c:pt>
                <c:pt idx="3">
                  <c:v>15.349436056573031</c:v>
                </c:pt>
                <c:pt idx="4">
                  <c:v>12.086037360812401</c:v>
                </c:pt>
                <c:pt idx="5">
                  <c:v>9.6016922249238021</c:v>
                </c:pt>
                <c:pt idx="6">
                  <c:v>7.6999919423019731</c:v>
                </c:pt>
                <c:pt idx="7">
                  <c:v>6.2196198586387093</c:v>
                </c:pt>
                <c:pt idx="8">
                  <c:v>5.0378555834509759</c:v>
                </c:pt>
                <c:pt idx="9">
                  <c:v>4.0785195418241873</c:v>
                </c:pt>
                <c:pt idx="10">
                  <c:v>3.3102362424425582</c:v>
                </c:pt>
                <c:pt idx="11">
                  <c:v>2.728751875209154</c:v>
                </c:pt>
                <c:pt idx="12">
                  <c:v>2.3370016737570039</c:v>
                </c:pt>
                <c:pt idx="13">
                  <c:v>2.1343780728987203</c:v>
                </c:pt>
                <c:pt idx="14">
                  <c:v>2.1140151909890452</c:v>
                </c:pt>
                <c:pt idx="15">
                  <c:v>2.2628170007861139</c:v>
                </c:pt>
                <c:pt idx="16">
                  <c:v>2.5627426244930347</c:v>
                </c:pt>
                <c:pt idx="17">
                  <c:v>2.9935128118335101</c:v>
                </c:pt>
                <c:pt idx="18">
                  <c:v>3.5355932028536321</c:v>
                </c:pt>
                <c:pt idx="19">
                  <c:v>4.1719446175960249</c:v>
                </c:pt>
                <c:pt idx="20">
                  <c:v>4.8882235500833957</c:v>
                </c:pt>
                <c:pt idx="21">
                  <c:v>5.6722543580795639</c:v>
                </c:pt>
                <c:pt idx="22">
                  <c:v>6.5136539564180813</c:v>
                </c:pt>
                <c:pt idx="23">
                  <c:v>7.4038431277952643</c:v>
                </c:pt>
                <c:pt idx="24">
                  <c:v>8.3361733141831529</c:v>
                </c:pt>
                <c:pt idx="25">
                  <c:v>9.305860895412291</c:v>
                </c:pt>
                <c:pt idx="26">
                  <c:v>10.309635044317622</c:v>
                </c:pt>
                <c:pt idx="27">
                  <c:v>11.34519449729757</c:v>
                </c:pt>
                <c:pt idx="28">
                  <c:v>12.410641448457906</c:v>
                </c:pt>
                <c:pt idx="29">
                  <c:v>13.504042954283802</c:v>
                </c:pt>
                <c:pt idx="30">
                  <c:v>14.623203537010692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D7E-4347-8325-CD9B0C8954D7}"/>
            </c:ext>
          </c:extLst>
        </c:ser>
        <c:ser>
          <c:idx val="25"/>
          <c:order val="25"/>
          <c:val>
            <c:numRef>
              <c:f>'Log cost parameter search'!$AL$23:$AL$53</c:f>
              <c:numCache>
                <c:formatCode>0.00</c:formatCode>
                <c:ptCount val="31"/>
                <c:pt idx="0">
                  <c:v>31.283257405726829</c:v>
                </c:pt>
                <c:pt idx="1">
                  <c:v>24.877876668312378</c:v>
                </c:pt>
                <c:pt idx="2">
                  <c:v>19.493244753824165</c:v>
                </c:pt>
                <c:pt idx="3">
                  <c:v>15.253408650772862</c:v>
                </c:pt>
                <c:pt idx="4">
                  <c:v>12.007564917035443</c:v>
                </c:pt>
                <c:pt idx="5">
                  <c:v>9.5376015551854536</c:v>
                </c:pt>
                <c:pt idx="6">
                  <c:v>7.6472528085566731</c:v>
                </c:pt>
                <c:pt idx="7">
                  <c:v>6.1755860554252511</c:v>
                </c:pt>
                <c:pt idx="8">
                  <c:v>5.0006631596563054</c:v>
                </c:pt>
                <c:pt idx="9">
                  <c:v>4.0474096807927831</c:v>
                </c:pt>
                <c:pt idx="10">
                  <c:v>3.2853412647114548</c:v>
                </c:pt>
                <c:pt idx="11">
                  <c:v>2.7105335029003248</c:v>
                </c:pt>
                <c:pt idx="12">
                  <c:v>2.3258202840100979</c:v>
                </c:pt>
                <c:pt idx="13">
                  <c:v>2.1303385947541424</c:v>
                </c:pt>
                <c:pt idx="14">
                  <c:v>2.1169409698188941</c:v>
                </c:pt>
                <c:pt idx="15">
                  <c:v>2.2722656871527089</c:v>
                </c:pt>
                <c:pt idx="16">
                  <c:v>2.578087533387154</c:v>
                </c:pt>
                <c:pt idx="17">
                  <c:v>3.0140707691754223</c:v>
                </c:pt>
                <c:pt idx="18">
                  <c:v>3.5607274162447862</c:v>
                </c:pt>
                <c:pt idx="19">
                  <c:v>4.2011001629963216</c:v>
                </c:pt>
                <c:pt idx="20">
                  <c:v>4.9209152085397054</c:v>
                </c:pt>
                <c:pt idx="21">
                  <c:v>5.7080517481888773</c:v>
                </c:pt>
                <c:pt idx="22">
                  <c:v>6.5521866609421728</c:v>
                </c:pt>
                <c:pt idx="23">
                  <c:v>7.4448170547387598</c:v>
                </c:pt>
                <c:pt idx="24">
                  <c:v>8.3793792613745843</c:v>
                </c:pt>
                <c:pt idx="25">
                  <c:v>9.351165189925112</c:v>
                </c:pt>
                <c:pt idx="26">
                  <c:v>10.356954498118201</c:v>
                </c:pt>
                <c:pt idx="27">
                  <c:v>11.394464870463461</c:v>
                </c:pt>
                <c:pt idx="28">
                  <c:v>12.461789680420386</c:v>
                </c:pt>
                <c:pt idx="29">
                  <c:v>13.556970597772491</c:v>
                </c:pt>
                <c:pt idx="30">
                  <c:v>14.677783948227798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D7E-4347-8325-CD9B0C8954D7}"/>
            </c:ext>
          </c:extLst>
        </c:ser>
        <c:ser>
          <c:idx val="26"/>
          <c:order val="26"/>
          <c:val>
            <c:numRef>
              <c:f>'Log cost parameter search'!$AM$23:$AM$53</c:f>
              <c:numCache>
                <c:formatCode>0.00</c:formatCode>
                <c:ptCount val="31"/>
                <c:pt idx="0">
                  <c:v>31.133318351045187</c:v>
                </c:pt>
                <c:pt idx="1">
                  <c:v>24.742081777107394</c:v>
                </c:pt>
                <c:pt idx="2">
                  <c:v>19.377405051095792</c:v>
                </c:pt>
                <c:pt idx="3">
                  <c:v>15.157754456599962</c:v>
                </c:pt>
                <c:pt idx="4">
                  <c:v>11.929430110957821</c:v>
                </c:pt>
                <c:pt idx="5">
                  <c:v>9.4738036313119647</c:v>
                </c:pt>
                <c:pt idx="6">
                  <c:v>7.5947590584696503</c:v>
                </c:pt>
                <c:pt idx="7">
                  <c:v>6.1317584702149883</c:v>
                </c:pt>
                <c:pt idx="8">
                  <c:v>4.9636613129821967</c:v>
                </c:pt>
                <c:pt idx="9">
                  <c:v>4.0165023663500321</c:v>
                </c:pt>
                <c:pt idx="10">
                  <c:v>3.2606759130600893</c:v>
                </c:pt>
                <c:pt idx="11">
                  <c:v>2.6925713527479207</c:v>
                </c:pt>
                <c:pt idx="12">
                  <c:v>2.3149131698841452</c:v>
                </c:pt>
                <c:pt idx="13">
                  <c:v>2.126580573897892</c:v>
                </c:pt>
                <c:pt idx="14">
                  <c:v>2.1201436721216402</c:v>
                </c:pt>
                <c:pt idx="15">
                  <c:v>2.2819765066772879</c:v>
                </c:pt>
                <c:pt idx="16">
                  <c:v>2.5936740349307827</c:v>
                </c:pt>
                <c:pt idx="17">
                  <c:v>3.0348490467674503</c:v>
                </c:pt>
                <c:pt idx="18">
                  <c:v>3.5860626137627576</c:v>
                </c:pt>
                <c:pt idx="19">
                  <c:v>4.2304393553007253</c:v>
                </c:pt>
                <c:pt idx="20">
                  <c:v>4.953774525024996</c:v>
                </c:pt>
                <c:pt idx="21">
                  <c:v>5.74400240589648</c:v>
                </c:pt>
                <c:pt idx="22">
                  <c:v>6.590860976589024</c:v>
                </c:pt>
                <c:pt idx="23">
                  <c:v>7.4859246700328743</c:v>
                </c:pt>
                <c:pt idx="24">
                  <c:v>8.4227147432428584</c:v>
                </c:pt>
                <c:pt idx="25">
                  <c:v>9.3965975833370443</c:v>
                </c:pt>
                <c:pt idx="26">
                  <c:v>10.404401618106952</c:v>
                </c:pt>
                <c:pt idx="27">
                  <c:v>11.443861731733129</c:v>
                </c:pt>
                <c:pt idx="28">
                  <c:v>12.513061259703592</c:v>
                </c:pt>
                <c:pt idx="29">
                  <c:v>13.6100161120634</c:v>
                </c:pt>
                <c:pt idx="30">
                  <c:v>14.732474870849179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D7E-4347-8325-CD9B0C8954D7}"/>
            </c:ext>
          </c:extLst>
        </c:ser>
        <c:ser>
          <c:idx val="27"/>
          <c:order val="27"/>
          <c:val>
            <c:numRef>
              <c:f>'Log cost parameter search'!$AN$23:$AN$53</c:f>
              <c:numCache>
                <c:formatCode>0.00</c:formatCode>
                <c:ptCount val="31"/>
                <c:pt idx="0">
                  <c:v>30.983550427346817</c:v>
                </c:pt>
                <c:pt idx="1">
                  <c:v>24.606598376973896</c:v>
                </c:pt>
                <c:pt idx="2">
                  <c:v>19.261945763731788</c:v>
                </c:pt>
                <c:pt idx="3">
                  <c:v>15.062473546226832</c:v>
                </c:pt>
                <c:pt idx="4">
                  <c:v>11.851632633605673</c:v>
                </c:pt>
                <c:pt idx="5">
                  <c:v>9.4102979059354759</c:v>
                </c:pt>
                <c:pt idx="6">
                  <c:v>7.5425101057034993</c:v>
                </c:pt>
                <c:pt idx="7">
                  <c:v>6.0881369206373437</c:v>
                </c:pt>
                <c:pt idx="8">
                  <c:v>4.9268506458486243</c:v>
                </c:pt>
                <c:pt idx="9">
                  <c:v>3.9857988416380898</c:v>
                </c:pt>
                <c:pt idx="10">
                  <c:v>3.2362415914635343</c:v>
                </c:pt>
                <c:pt idx="11">
                  <c:v>2.6748666193332511</c:v>
                </c:pt>
                <c:pt idx="12">
                  <c:v>2.304281168085248</c:v>
                </c:pt>
                <c:pt idx="13">
                  <c:v>2.1231044070924159</c:v>
                </c:pt>
                <c:pt idx="14">
                  <c:v>2.123623230050137</c:v>
                </c:pt>
                <c:pt idx="15">
                  <c:v>2.2919490443047641</c:v>
                </c:pt>
                <c:pt idx="16">
                  <c:v>2.6095015743940473</c:v>
                </c:pt>
                <c:pt idx="17">
                  <c:v>3.0558471055088439</c:v>
                </c:pt>
                <c:pt idx="18">
                  <c:v>3.6115983065505031</c:v>
                </c:pt>
                <c:pt idx="19">
                  <c:v>4.2599617277393627</c:v>
                </c:pt>
                <c:pt idx="20">
                  <c:v>4.986801057547698</c:v>
                </c:pt>
                <c:pt idx="21">
                  <c:v>5.7801059748888166</c:v>
                </c:pt>
                <c:pt idx="22">
                  <c:v>6.6296767068173486</c:v>
                </c:pt>
                <c:pt idx="23">
                  <c:v>7.5271659673385312</c:v>
                </c:pt>
                <c:pt idx="24">
                  <c:v>8.4661799071675521</c:v>
                </c:pt>
                <c:pt idx="25">
                  <c:v>9.4421582872762766</c:v>
                </c:pt>
                <c:pt idx="26">
                  <c:v>10.451976572400593</c:v>
                </c:pt>
                <c:pt idx="27">
                  <c:v>11.493385118075512</c:v>
                </c:pt>
                <c:pt idx="28">
                  <c:v>12.564456052848207</c:v>
                </c:pt>
                <c:pt idx="29">
                  <c:v>13.66317921087116</c:v>
                </c:pt>
                <c:pt idx="30">
                  <c:v>14.787275928019657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D7E-4347-8325-CD9B0C8954D7}"/>
            </c:ext>
          </c:extLst>
        </c:ser>
        <c:bandFmts/>
        <c:axId val="293772672"/>
        <c:axId val="293786752"/>
        <c:axId val="293765568"/>
      </c:surface3DChart>
      <c:catAx>
        <c:axId val="293772672"/>
        <c:scaling>
          <c:orientation val="minMax"/>
        </c:scaling>
        <c:delete val="0"/>
        <c:axPos val="b"/>
        <c:majorTickMark val="out"/>
        <c:minorTickMark val="none"/>
        <c:tickLblPos val="nextTo"/>
        <c:crossAx val="293786752"/>
        <c:crosses val="autoZero"/>
        <c:auto val="1"/>
        <c:lblAlgn val="ctr"/>
        <c:lblOffset val="100"/>
        <c:noMultiLvlLbl val="0"/>
      </c:catAx>
      <c:valAx>
        <c:axId val="2937867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93772672"/>
        <c:crosses val="autoZero"/>
        <c:crossBetween val="midCat"/>
      </c:valAx>
      <c:serAx>
        <c:axId val="293765568"/>
        <c:scaling>
          <c:orientation val="minMax"/>
        </c:scaling>
        <c:delete val="0"/>
        <c:axPos val="b"/>
        <c:majorTickMark val="out"/>
        <c:minorTickMark val="none"/>
        <c:tickLblPos val="nextTo"/>
        <c:crossAx val="293786752"/>
        <c:crosses val="autoZero"/>
      </c:ser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'Log cost parameter search'!$M$37:$AN$37</c:f>
              <c:numCache>
                <c:formatCode>0.00</c:formatCode>
                <c:ptCount val="28"/>
                <c:pt idx="0">
                  <c:v>2.1267491968421872</c:v>
                </c:pt>
                <c:pt idx="1">
                  <c:v>2.123053202956696</c:v>
                </c:pt>
                <c:pt idx="2">
                  <c:v>2.1196305716974875</c:v>
                </c:pt>
                <c:pt idx="3">
                  <c:v>2.116481652135386</c:v>
                </c:pt>
                <c:pt idx="4">
                  <c:v>2.1136067762457746</c:v>
                </c:pt>
                <c:pt idx="5">
                  <c:v>2.1110062588005518</c:v>
                </c:pt>
                <c:pt idx="6">
                  <c:v>2.1086803972705876</c:v>
                </c:pt>
                <c:pt idx="7">
                  <c:v>2.1066294717389598</c:v>
                </c:pt>
                <c:pt idx="8">
                  <c:v>2.1048537448252072</c:v>
                </c:pt>
                <c:pt idx="9">
                  <c:v>2.1033534616208431</c:v>
                </c:pt>
                <c:pt idx="10">
                  <c:v>2.1021288496363422</c:v>
                </c:pt>
                <c:pt idx="11">
                  <c:v>2.1011801187597516</c:v>
                </c:pt>
                <c:pt idx="12">
                  <c:v>2.1005074612271426</c:v>
                </c:pt>
                <c:pt idx="13">
                  <c:v>2.1001110516049799</c:v>
                </c:pt>
                <c:pt idx="14">
                  <c:v>2.0999910467845755</c:v>
                </c:pt>
                <c:pt idx="15">
                  <c:v>2.1001475859886845</c:v>
                </c:pt>
                <c:pt idx="16">
                  <c:v>2.1005807907903145</c:v>
                </c:pt>
                <c:pt idx="17">
                  <c:v>2.1012907651438009</c:v>
                </c:pt>
                <c:pt idx="18">
                  <c:v>2.1022775954281503</c:v>
                </c:pt>
                <c:pt idx="19">
                  <c:v>2.1035413505026455</c:v>
                </c:pt>
                <c:pt idx="20">
                  <c:v>2.1050820817746922</c:v>
                </c:pt>
                <c:pt idx="21">
                  <c:v>2.1068998232798264</c:v>
                </c:pt>
                <c:pt idx="22">
                  <c:v>2.108994591773822</c:v>
                </c:pt>
                <c:pt idx="23">
                  <c:v>2.1113663868367745</c:v>
                </c:pt>
                <c:pt idx="24">
                  <c:v>2.1140151909890452</c:v>
                </c:pt>
                <c:pt idx="25">
                  <c:v>2.1169409698188941</c:v>
                </c:pt>
                <c:pt idx="26">
                  <c:v>2.1201436721216402</c:v>
                </c:pt>
                <c:pt idx="27">
                  <c:v>2.123623230050137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C1-1F45-A1D4-21F39EA68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823616"/>
        <c:axId val="293825152"/>
      </c:lineChart>
      <c:catAx>
        <c:axId val="293823616"/>
        <c:scaling>
          <c:orientation val="minMax"/>
        </c:scaling>
        <c:delete val="0"/>
        <c:axPos val="b"/>
        <c:majorTickMark val="out"/>
        <c:minorTickMark val="none"/>
        <c:tickLblPos val="nextTo"/>
        <c:crossAx val="293825152"/>
        <c:crosses val="autoZero"/>
        <c:auto val="1"/>
        <c:lblAlgn val="ctr"/>
        <c:lblOffset val="100"/>
        <c:noMultiLvlLbl val="0"/>
      </c:catAx>
      <c:valAx>
        <c:axId val="2938251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93823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20" fmlaLink="$I$7" max="100" page="10" val="50"/>
</file>

<file path=xl/ctrlProps/ctrlProp2.xml><?xml version="1.0" encoding="utf-8"?>
<formControlPr xmlns="http://schemas.microsoft.com/office/spreadsheetml/2009/9/main" objectType="Scroll" dx="20" fmlaLink="$I$8" max="100" page="10" val="25"/>
</file>

<file path=xl/ctrlProps/ctrlProp3.xml><?xml version="1.0" encoding="utf-8"?>
<formControlPr xmlns="http://schemas.microsoft.com/office/spreadsheetml/2009/9/main" objectType="Scroll" dx="20" fmlaLink="$K$9" max="100" page="10" val="57"/>
</file>

<file path=xl/ctrlProps/ctrlProp4.xml><?xml version="1.0" encoding="utf-8"?>
<formControlPr xmlns="http://schemas.microsoft.com/office/spreadsheetml/2009/9/main" objectType="Scroll" dx="20" fmlaLink="$K$10" max="100" page="10" val="39"/>
</file>

<file path=xl/ctrlProps/ctrlProp5.xml><?xml version="1.0" encoding="utf-8"?>
<formControlPr xmlns="http://schemas.microsoft.com/office/spreadsheetml/2009/9/main" objectType="Scroll" dx="20" fmlaLink="$K$9" max="100" page="10" val="57"/>
</file>

<file path=xl/ctrlProps/ctrlProp6.xml><?xml version="1.0" encoding="utf-8"?>
<formControlPr xmlns="http://schemas.microsoft.com/office/spreadsheetml/2009/9/main" objectType="Scroll" dx="20" fmlaLink="$K$10" max="100" page="10" val="38"/>
</file>

<file path=xl/ctrlProps/ctrlProp7.xml><?xml version="1.0" encoding="utf-8"?>
<formControlPr xmlns="http://schemas.microsoft.com/office/spreadsheetml/2009/9/main" objectType="Scroll" dx="20" fmlaLink="$N$9" max="100" page="10" val="25"/>
</file>

<file path=xl/ctrlProps/ctrlProp8.xml><?xml version="1.0" encoding="utf-8"?>
<formControlPr xmlns="http://schemas.microsoft.com/office/spreadsheetml/2009/9/main" objectType="Scroll" dx="20" fmlaLink="$N$10" max="100" page="10" val="38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1</xdr:row>
      <xdr:rowOff>19050</xdr:rowOff>
    </xdr:from>
    <xdr:to>
      <xdr:col>17</xdr:col>
      <xdr:colOff>579120</xdr:colOff>
      <xdr:row>18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158114</xdr:colOff>
      <xdr:row>4</xdr:row>
      <xdr:rowOff>186690</xdr:rowOff>
    </xdr:from>
    <xdr:to>
      <xdr:col>22</xdr:col>
      <xdr:colOff>571499</xdr:colOff>
      <xdr:row>31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38100</xdr:rowOff>
        </xdr:from>
        <xdr:to>
          <xdr:col>5</xdr:col>
          <xdr:colOff>482600</xdr:colOff>
          <xdr:row>31</xdr:row>
          <xdr:rowOff>38100</xdr:rowOff>
        </xdr:to>
        <xdr:sp macro="" textlink="">
          <xdr:nvSpPr>
            <xdr:cNvPr id="17409" name="Scroll Bar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7</xdr:row>
          <xdr:rowOff>63500</xdr:rowOff>
        </xdr:from>
        <xdr:to>
          <xdr:col>6</xdr:col>
          <xdr:colOff>444500</xdr:colOff>
          <xdr:row>31</xdr:row>
          <xdr:rowOff>50800</xdr:rowOff>
        </xdr:to>
        <xdr:sp macro="" textlink="">
          <xdr:nvSpPr>
            <xdr:cNvPr id="17410" name="Scroll Bar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427567</xdr:colOff>
      <xdr:row>75</xdr:row>
      <xdr:rowOff>66677</xdr:rowOff>
    </xdr:from>
    <xdr:to>
      <xdr:col>22</xdr:col>
      <xdr:colOff>256752</xdr:colOff>
      <xdr:row>101</xdr:row>
      <xdr:rowOff>27095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139700</xdr:colOff>
          <xdr:row>2</xdr:row>
          <xdr:rowOff>203200</xdr:rowOff>
        </xdr:from>
        <xdr:to>
          <xdr:col>7</xdr:col>
          <xdr:colOff>482600</xdr:colOff>
          <xdr:row>17</xdr:row>
          <xdr:rowOff>114300</xdr:rowOff>
        </xdr:to>
        <xdr:sp macro="" textlink="">
          <xdr:nvSpPr>
            <xdr:cNvPr id="18433" name="Scroll Bar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101600</xdr:colOff>
          <xdr:row>2</xdr:row>
          <xdr:rowOff>215900</xdr:rowOff>
        </xdr:from>
        <xdr:to>
          <xdr:col>8</xdr:col>
          <xdr:colOff>444500</xdr:colOff>
          <xdr:row>17</xdr:row>
          <xdr:rowOff>114300</xdr:rowOff>
        </xdr:to>
        <xdr:sp macro="" textlink="">
          <xdr:nvSpPr>
            <xdr:cNvPr id="18434" name="Scroll Bar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48654</xdr:colOff>
      <xdr:row>1</xdr:row>
      <xdr:rowOff>18023</xdr:rowOff>
    </xdr:from>
    <xdr:to>
      <xdr:col>23</xdr:col>
      <xdr:colOff>314326</xdr:colOff>
      <xdr:row>19</xdr:row>
      <xdr:rowOff>8497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139700</xdr:colOff>
          <xdr:row>2</xdr:row>
          <xdr:rowOff>203200</xdr:rowOff>
        </xdr:from>
        <xdr:to>
          <xdr:col>7</xdr:col>
          <xdr:colOff>482600</xdr:colOff>
          <xdr:row>17</xdr:row>
          <xdr:rowOff>127000</xdr:rowOff>
        </xdr:to>
        <xdr:sp macro="" textlink="">
          <xdr:nvSpPr>
            <xdr:cNvPr id="19457" name="Scroll Bar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101600</xdr:colOff>
          <xdr:row>2</xdr:row>
          <xdr:rowOff>215900</xdr:rowOff>
        </xdr:from>
        <xdr:to>
          <xdr:col>8</xdr:col>
          <xdr:colOff>444500</xdr:colOff>
          <xdr:row>17</xdr:row>
          <xdr:rowOff>127000</xdr:rowOff>
        </xdr:to>
        <xdr:sp macro="" textlink="">
          <xdr:nvSpPr>
            <xdr:cNvPr id="19458" name="Scroll Bar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29935</xdr:colOff>
      <xdr:row>0</xdr:row>
      <xdr:rowOff>110898</xdr:rowOff>
    </xdr:from>
    <xdr:to>
      <xdr:col>34</xdr:col>
      <xdr:colOff>293915</xdr:colOff>
      <xdr:row>20</xdr:row>
      <xdr:rowOff>178898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2</xdr:row>
          <xdr:rowOff>203200</xdr:rowOff>
        </xdr:from>
        <xdr:to>
          <xdr:col>10</xdr:col>
          <xdr:colOff>482600</xdr:colOff>
          <xdr:row>17</xdr:row>
          <xdr:rowOff>127000</xdr:rowOff>
        </xdr:to>
        <xdr:sp macro="" textlink="">
          <xdr:nvSpPr>
            <xdr:cNvPr id="20481" name="Scroll Bar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101600</xdr:colOff>
          <xdr:row>2</xdr:row>
          <xdr:rowOff>215900</xdr:rowOff>
        </xdr:from>
        <xdr:to>
          <xdr:col>11</xdr:col>
          <xdr:colOff>444500</xdr:colOff>
          <xdr:row>17</xdr:row>
          <xdr:rowOff>127000</xdr:rowOff>
        </xdr:to>
        <xdr:sp macro="" textlink="">
          <xdr:nvSpPr>
            <xdr:cNvPr id="20482" name="Scroll Bar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4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310515</xdr:colOff>
      <xdr:row>1</xdr:row>
      <xdr:rowOff>80010</xdr:rowOff>
    </xdr:from>
    <xdr:to>
      <xdr:col>32</xdr:col>
      <xdr:colOff>179070</xdr:colOff>
      <xdr:row>19</xdr:row>
      <xdr:rowOff>60960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435429</xdr:colOff>
      <xdr:row>28</xdr:row>
      <xdr:rowOff>454</xdr:rowOff>
    </xdr:from>
    <xdr:to>
      <xdr:col>8</xdr:col>
      <xdr:colOff>304800</xdr:colOff>
      <xdr:row>43</xdr:row>
      <xdr:rowOff>266700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32658</xdr:colOff>
      <xdr:row>54</xdr:row>
      <xdr:rowOff>168728</xdr:rowOff>
    </xdr:from>
    <xdr:to>
      <xdr:col>40</xdr:col>
      <xdr:colOff>25400</xdr:colOff>
      <xdr:row>69</xdr:row>
      <xdr:rowOff>136071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0</xdr:row>
      <xdr:rowOff>0</xdr:rowOff>
    </xdr:from>
    <xdr:to>
      <xdr:col>11</xdr:col>
      <xdr:colOff>594942</xdr:colOff>
      <xdr:row>14</xdr:row>
      <xdr:rowOff>15463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900" y="0"/>
          <a:ext cx="6713802" cy="25757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tpages.info/logistic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B2:D21"/>
  <sheetViews>
    <sheetView zoomScaleNormal="110" workbookViewId="0">
      <selection activeCell="I20" sqref="I20"/>
    </sheetView>
  </sheetViews>
  <sheetFormatPr baseColWidth="10" defaultColWidth="8.83203125" defaultRowHeight="15" x14ac:dyDescent="0.2"/>
  <cols>
    <col min="2" max="3" width="13.6640625" customWidth="1"/>
    <col min="4" max="4" width="17.1640625" customWidth="1"/>
    <col min="5" max="5" width="5.33203125" customWidth="1"/>
    <col min="6" max="6" width="11.6640625" customWidth="1"/>
    <col min="7" max="7" width="12" bestFit="1" customWidth="1"/>
  </cols>
  <sheetData>
    <row r="2" spans="2:4" ht="16" thickBot="1" x14ac:dyDescent="0.25"/>
    <row r="3" spans="2:4" ht="33" thickBot="1" x14ac:dyDescent="0.25">
      <c r="B3" s="4" t="s">
        <v>3</v>
      </c>
      <c r="C3" s="5" t="s">
        <v>2</v>
      </c>
      <c r="D3" s="6" t="s">
        <v>2</v>
      </c>
    </row>
    <row r="4" spans="2:4" ht="20.5" customHeight="1" x14ac:dyDescent="0.2">
      <c r="B4" s="11">
        <v>1</v>
      </c>
      <c r="C4" s="12" t="s">
        <v>5</v>
      </c>
      <c r="D4" s="17">
        <f>IF(C4="No",0,1)</f>
        <v>0</v>
      </c>
    </row>
    <row r="5" spans="2:4" ht="20.5" customHeight="1" x14ac:dyDescent="0.2">
      <c r="B5" s="13">
        <v>2</v>
      </c>
      <c r="C5" s="14" t="s">
        <v>5</v>
      </c>
      <c r="D5" s="18">
        <f t="shared" ref="D5:D16" si="0">IF(C5="No",0,1)</f>
        <v>0</v>
      </c>
    </row>
    <row r="6" spans="2:4" ht="20.5" customHeight="1" x14ac:dyDescent="0.2">
      <c r="B6" s="13">
        <v>3</v>
      </c>
      <c r="C6" s="14" t="s">
        <v>5</v>
      </c>
      <c r="D6" s="18">
        <f t="shared" si="0"/>
        <v>0</v>
      </c>
    </row>
    <row r="7" spans="2:4" ht="20.5" customHeight="1" x14ac:dyDescent="0.2">
      <c r="B7" s="13">
        <v>4</v>
      </c>
      <c r="C7" s="14" t="s">
        <v>5</v>
      </c>
      <c r="D7" s="18">
        <f t="shared" si="0"/>
        <v>0</v>
      </c>
    </row>
    <row r="8" spans="2:4" ht="20.5" customHeight="1" x14ac:dyDescent="0.2">
      <c r="B8" s="13">
        <v>5</v>
      </c>
      <c r="C8" s="14" t="s">
        <v>4</v>
      </c>
      <c r="D8" s="18">
        <f t="shared" si="0"/>
        <v>1</v>
      </c>
    </row>
    <row r="9" spans="2:4" ht="20.5" customHeight="1" x14ac:dyDescent="0.2">
      <c r="B9" s="13">
        <v>6</v>
      </c>
      <c r="C9" s="14" t="s">
        <v>4</v>
      </c>
      <c r="D9" s="18">
        <f t="shared" si="0"/>
        <v>1</v>
      </c>
    </row>
    <row r="10" spans="2:4" ht="20.5" customHeight="1" x14ac:dyDescent="0.2">
      <c r="B10" s="13">
        <v>5</v>
      </c>
      <c r="C10" s="14" t="s">
        <v>5</v>
      </c>
      <c r="D10" s="18">
        <f t="shared" si="0"/>
        <v>0</v>
      </c>
    </row>
    <row r="11" spans="2:4" ht="20.5" customHeight="1" x14ac:dyDescent="0.2">
      <c r="B11" s="13">
        <v>8</v>
      </c>
      <c r="C11" s="14" t="s">
        <v>4</v>
      </c>
      <c r="D11" s="18">
        <f t="shared" si="0"/>
        <v>1</v>
      </c>
    </row>
    <row r="12" spans="2:4" ht="20.5" customHeight="1" x14ac:dyDescent="0.2">
      <c r="B12" s="13">
        <v>9</v>
      </c>
      <c r="C12" s="14" t="s">
        <v>4</v>
      </c>
      <c r="D12" s="18">
        <f t="shared" si="0"/>
        <v>1</v>
      </c>
    </row>
    <row r="13" spans="2:4" ht="20.5" customHeight="1" x14ac:dyDescent="0.2">
      <c r="B13" s="13">
        <v>10</v>
      </c>
      <c r="C13" s="14" t="s">
        <v>4</v>
      </c>
      <c r="D13" s="18">
        <f t="shared" si="0"/>
        <v>1</v>
      </c>
    </row>
    <row r="14" spans="2:4" ht="20.5" customHeight="1" x14ac:dyDescent="0.2">
      <c r="B14" s="13">
        <v>11</v>
      </c>
      <c r="C14" s="14" t="s">
        <v>4</v>
      </c>
      <c r="D14" s="18">
        <f t="shared" si="0"/>
        <v>1</v>
      </c>
    </row>
    <row r="15" spans="2:4" ht="20.5" customHeight="1" x14ac:dyDescent="0.2">
      <c r="B15" s="13">
        <v>12</v>
      </c>
      <c r="C15" s="14" t="s">
        <v>4</v>
      </c>
      <c r="D15" s="18">
        <f t="shared" si="0"/>
        <v>1</v>
      </c>
    </row>
    <row r="16" spans="2:4" ht="20.5" customHeight="1" thickBot="1" x14ac:dyDescent="0.25">
      <c r="B16" s="15">
        <v>13</v>
      </c>
      <c r="C16" s="16" t="s">
        <v>4</v>
      </c>
      <c r="D16" s="19">
        <f t="shared" si="0"/>
        <v>1</v>
      </c>
    </row>
    <row r="20" ht="21" customHeight="1" x14ac:dyDescent="0.2"/>
    <row r="21" ht="21" customHeight="1" x14ac:dyDescent="0.2"/>
  </sheetData>
  <conditionalFormatting sqref="C4:C16">
    <cfRule type="cellIs" dxfId="19" priority="4" operator="equal">
      <formula>"Yes"</formula>
    </cfRule>
    <cfRule type="cellIs" dxfId="18" priority="5" operator="equal">
      <formula>"No"</formula>
    </cfRule>
  </conditionalFormatting>
  <conditionalFormatting sqref="D4:D16">
    <cfRule type="cellIs" dxfId="17" priority="2" operator="equal">
      <formula>1</formula>
    </cfRule>
    <cfRule type="cellIs" dxfId="16" priority="3" operator="equal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I232"/>
  <sheetViews>
    <sheetView showGridLines="0" topLeftCell="A5" zoomScale="81" zoomScaleNormal="100" workbookViewId="0">
      <selection activeCell="D24" sqref="D24"/>
    </sheetView>
  </sheetViews>
  <sheetFormatPr baseColWidth="10" defaultColWidth="8.83203125" defaultRowHeight="15" x14ac:dyDescent="0.2"/>
  <cols>
    <col min="2" max="3" width="13.6640625" customWidth="1"/>
    <col min="4" max="4" width="17.1640625" customWidth="1"/>
    <col min="5" max="5" width="4.6640625" customWidth="1"/>
    <col min="6" max="7" width="8.5" customWidth="1"/>
    <col min="8" max="8" width="12" bestFit="1" customWidth="1"/>
  </cols>
  <sheetData>
    <row r="1" spans="1:9" hidden="1" x14ac:dyDescent="0.2"/>
    <row r="2" spans="1:9" hidden="1" x14ac:dyDescent="0.2"/>
    <row r="3" spans="1:9" hidden="1" x14ac:dyDescent="0.2"/>
    <row r="4" spans="1:9" hidden="1" x14ac:dyDescent="0.2">
      <c r="A4" t="s">
        <v>0</v>
      </c>
      <c r="B4">
        <v>0.5</v>
      </c>
    </row>
    <row r="5" spans="1:9" ht="16" thickBot="1" x14ac:dyDescent="0.25"/>
    <row r="6" spans="1:9" ht="16" thickBot="1" x14ac:dyDescent="0.25">
      <c r="B6" s="9" t="s">
        <v>6</v>
      </c>
      <c r="C6" s="9" t="s">
        <v>7</v>
      </c>
      <c r="D6" s="9" t="s">
        <v>10</v>
      </c>
      <c r="E6" s="9"/>
      <c r="F6" s="22" t="s">
        <v>8</v>
      </c>
      <c r="G6" s="23" t="s">
        <v>9</v>
      </c>
    </row>
    <row r="7" spans="1:9" ht="22" thickBot="1" x14ac:dyDescent="0.25">
      <c r="B7" s="26">
        <v>-5</v>
      </c>
      <c r="C7" s="7">
        <f>Sigmoid(B7)</f>
        <v>6.6928509242848554E-3</v>
      </c>
      <c r="D7" s="3">
        <f t="shared" ref="D7:D38" si="0">Sigmoid($G$7*B7+$F$7)</f>
        <v>6.6928509242848554E-3</v>
      </c>
      <c r="E7" s="3"/>
      <c r="F7" s="24">
        <f>(50-I7)/1</f>
        <v>0</v>
      </c>
      <c r="G7" s="25">
        <f>I8/25</f>
        <v>1</v>
      </c>
      <c r="I7" s="20">
        <v>50</v>
      </c>
    </row>
    <row r="8" spans="1:9" ht="16" thickBot="1" x14ac:dyDescent="0.25">
      <c r="B8" s="2">
        <f>B7+$B$4</f>
        <v>-4.5</v>
      </c>
      <c r="C8" s="7">
        <f>Sigmoid(B8)</f>
        <v>1.098694263059318E-2</v>
      </c>
      <c r="D8" s="3">
        <f t="shared" si="0"/>
        <v>1.098694263059318E-2</v>
      </c>
      <c r="E8" s="3"/>
      <c r="I8" s="21">
        <v>25</v>
      </c>
    </row>
    <row r="9" spans="1:9" x14ac:dyDescent="0.2">
      <c r="B9" s="2">
        <f t="shared" ref="B9:B72" si="1">B8+$B$4</f>
        <v>-4</v>
      </c>
      <c r="C9" s="7">
        <f t="shared" ref="C9:C57" si="2">Sigmoid(B9)</f>
        <v>1.7986209962091559E-2</v>
      </c>
      <c r="D9" s="3">
        <f t="shared" si="0"/>
        <v>1.7986209962091559E-2</v>
      </c>
      <c r="E9" s="3"/>
    </row>
    <row r="10" spans="1:9" x14ac:dyDescent="0.2">
      <c r="B10" s="2">
        <f t="shared" si="1"/>
        <v>-3.5</v>
      </c>
      <c r="C10" s="7">
        <f t="shared" si="2"/>
        <v>2.9312230751356319E-2</v>
      </c>
      <c r="D10" s="3">
        <f t="shared" si="0"/>
        <v>2.9312230751356319E-2</v>
      </c>
      <c r="E10" s="3"/>
    </row>
    <row r="11" spans="1:9" x14ac:dyDescent="0.2">
      <c r="B11" s="2">
        <f t="shared" si="1"/>
        <v>-3</v>
      </c>
      <c r="C11" s="7">
        <f t="shared" si="2"/>
        <v>4.7425873177566781E-2</v>
      </c>
      <c r="D11" s="3">
        <f t="shared" si="0"/>
        <v>4.7425873177566781E-2</v>
      </c>
      <c r="E11" s="3"/>
    </row>
    <row r="12" spans="1:9" x14ac:dyDescent="0.2">
      <c r="B12" s="2">
        <f t="shared" si="1"/>
        <v>-2.5</v>
      </c>
      <c r="C12" s="7">
        <f t="shared" si="2"/>
        <v>7.5858180021243546E-2</v>
      </c>
      <c r="D12" s="3">
        <f t="shared" si="0"/>
        <v>7.5858180021243546E-2</v>
      </c>
      <c r="E12" s="3"/>
    </row>
    <row r="13" spans="1:9" x14ac:dyDescent="0.2">
      <c r="B13" s="2">
        <f t="shared" si="1"/>
        <v>-2</v>
      </c>
      <c r="C13" s="7">
        <f t="shared" si="2"/>
        <v>0.11920292202211755</v>
      </c>
      <c r="D13" s="3">
        <f t="shared" si="0"/>
        <v>0.11920292202211755</v>
      </c>
      <c r="E13" s="3"/>
    </row>
    <row r="14" spans="1:9" x14ac:dyDescent="0.2">
      <c r="B14" s="2">
        <f t="shared" si="1"/>
        <v>-1.5</v>
      </c>
      <c r="C14" s="7">
        <f t="shared" si="2"/>
        <v>0.18242552380635635</v>
      </c>
      <c r="D14" s="3">
        <f t="shared" si="0"/>
        <v>0.18242552380635635</v>
      </c>
      <c r="E14" s="3"/>
    </row>
    <row r="15" spans="1:9" x14ac:dyDescent="0.2">
      <c r="B15" s="2">
        <f t="shared" si="1"/>
        <v>-1</v>
      </c>
      <c r="C15" s="7">
        <f t="shared" si="2"/>
        <v>0.2689414213699951</v>
      </c>
      <c r="D15" s="3">
        <f t="shared" si="0"/>
        <v>0.2689414213699951</v>
      </c>
      <c r="E15" s="3"/>
    </row>
    <row r="16" spans="1:9" x14ac:dyDescent="0.2">
      <c r="B16" s="2">
        <f t="shared" si="1"/>
        <v>-0.5</v>
      </c>
      <c r="C16" s="7">
        <f t="shared" si="2"/>
        <v>0.37754066879814541</v>
      </c>
      <c r="D16" s="3">
        <f t="shared" si="0"/>
        <v>0.37754066879814541</v>
      </c>
      <c r="E16" s="3"/>
    </row>
    <row r="17" spans="2:5" x14ac:dyDescent="0.2">
      <c r="B17" s="2">
        <f t="shared" si="1"/>
        <v>0</v>
      </c>
      <c r="C17" s="7">
        <f t="shared" si="2"/>
        <v>0.5</v>
      </c>
      <c r="D17" s="3">
        <f t="shared" si="0"/>
        <v>0.5</v>
      </c>
      <c r="E17" s="3"/>
    </row>
    <row r="18" spans="2:5" x14ac:dyDescent="0.2">
      <c r="B18" s="2">
        <f t="shared" si="1"/>
        <v>0.5</v>
      </c>
      <c r="C18" s="7">
        <f t="shared" si="2"/>
        <v>0.62245933120185459</v>
      </c>
      <c r="D18" s="3">
        <f t="shared" si="0"/>
        <v>0.62245933120185459</v>
      </c>
      <c r="E18" s="3"/>
    </row>
    <row r="19" spans="2:5" x14ac:dyDescent="0.2">
      <c r="B19" s="2">
        <f t="shared" si="1"/>
        <v>1</v>
      </c>
      <c r="C19" s="7">
        <f t="shared" si="2"/>
        <v>0.7310585786300049</v>
      </c>
      <c r="D19" s="3">
        <f t="shared" si="0"/>
        <v>0.7310585786300049</v>
      </c>
      <c r="E19" s="3"/>
    </row>
    <row r="20" spans="2:5" x14ac:dyDescent="0.2">
      <c r="B20" s="2">
        <f t="shared" si="1"/>
        <v>1.5</v>
      </c>
      <c r="C20" s="7">
        <f t="shared" si="2"/>
        <v>0.81757447619364365</v>
      </c>
      <c r="D20" s="3">
        <f t="shared" si="0"/>
        <v>0.81757447619364365</v>
      </c>
      <c r="E20" s="3"/>
    </row>
    <row r="21" spans="2:5" x14ac:dyDescent="0.2">
      <c r="B21" s="2">
        <f t="shared" si="1"/>
        <v>2</v>
      </c>
      <c r="C21" s="7">
        <f t="shared" si="2"/>
        <v>0.88079707797788243</v>
      </c>
      <c r="D21" s="3">
        <f t="shared" si="0"/>
        <v>0.88079707797788243</v>
      </c>
      <c r="E21" s="3"/>
    </row>
    <row r="22" spans="2:5" x14ac:dyDescent="0.2">
      <c r="B22" s="2">
        <f t="shared" si="1"/>
        <v>2.5</v>
      </c>
      <c r="C22" s="7">
        <f t="shared" si="2"/>
        <v>0.92414181997875644</v>
      </c>
      <c r="D22" s="3">
        <f t="shared" si="0"/>
        <v>0.92414181997875644</v>
      </c>
      <c r="E22" s="3"/>
    </row>
    <row r="23" spans="2:5" x14ac:dyDescent="0.2">
      <c r="B23" s="2">
        <f t="shared" si="1"/>
        <v>3</v>
      </c>
      <c r="C23" s="7">
        <f t="shared" si="2"/>
        <v>0.95257412682243325</v>
      </c>
      <c r="D23" s="3">
        <f t="shared" si="0"/>
        <v>0.95257412682243325</v>
      </c>
      <c r="E23" s="3"/>
    </row>
    <row r="24" spans="2:5" x14ac:dyDescent="0.2">
      <c r="B24" s="2">
        <f t="shared" si="1"/>
        <v>3.5</v>
      </c>
      <c r="C24" s="7">
        <f t="shared" si="2"/>
        <v>0.97068776924864364</v>
      </c>
      <c r="D24" s="3">
        <f t="shared" si="0"/>
        <v>0.97068776924864364</v>
      </c>
      <c r="E24" s="3"/>
    </row>
    <row r="25" spans="2:5" x14ac:dyDescent="0.2">
      <c r="B25" s="2">
        <f t="shared" si="1"/>
        <v>4</v>
      </c>
      <c r="C25" s="7">
        <f t="shared" si="2"/>
        <v>0.98201379003790845</v>
      </c>
      <c r="D25" s="3">
        <f t="shared" si="0"/>
        <v>0.98201379003790845</v>
      </c>
      <c r="E25" s="3"/>
    </row>
    <row r="26" spans="2:5" x14ac:dyDescent="0.2">
      <c r="B26" s="2">
        <f t="shared" si="1"/>
        <v>4.5</v>
      </c>
      <c r="C26" s="7">
        <f t="shared" si="2"/>
        <v>0.98901305736940681</v>
      </c>
      <c r="D26" s="3">
        <f t="shared" si="0"/>
        <v>0.98901305736940681</v>
      </c>
      <c r="E26" s="3"/>
    </row>
    <row r="27" spans="2:5" x14ac:dyDescent="0.2">
      <c r="B27" s="2">
        <f t="shared" si="1"/>
        <v>5</v>
      </c>
      <c r="C27" s="7">
        <f t="shared" si="2"/>
        <v>0.99330714907571516</v>
      </c>
      <c r="D27" s="3">
        <f t="shared" si="0"/>
        <v>0.99330714907571516</v>
      </c>
      <c r="E27" s="3"/>
    </row>
    <row r="28" spans="2:5" x14ac:dyDescent="0.2">
      <c r="B28" s="2">
        <f t="shared" si="1"/>
        <v>5.5</v>
      </c>
      <c r="C28" s="7">
        <f t="shared" si="2"/>
        <v>0.99592986228410385</v>
      </c>
      <c r="D28" s="3">
        <f t="shared" si="0"/>
        <v>0.99592986228410385</v>
      </c>
      <c r="E28" s="3"/>
    </row>
    <row r="29" spans="2:5" x14ac:dyDescent="0.2">
      <c r="B29" s="2">
        <f t="shared" si="1"/>
        <v>6</v>
      </c>
      <c r="C29" s="7">
        <f t="shared" si="2"/>
        <v>0.99752737684336523</v>
      </c>
      <c r="D29" s="3">
        <f t="shared" si="0"/>
        <v>0.99752737684336523</v>
      </c>
      <c r="E29" s="3"/>
    </row>
    <row r="30" spans="2:5" x14ac:dyDescent="0.2">
      <c r="B30" s="2">
        <f t="shared" si="1"/>
        <v>6.5</v>
      </c>
      <c r="C30" s="7">
        <f t="shared" si="2"/>
        <v>0.99849881774326299</v>
      </c>
      <c r="D30" s="3">
        <f t="shared" si="0"/>
        <v>0.99849881774326299</v>
      </c>
      <c r="E30" s="3"/>
    </row>
    <row r="31" spans="2:5" x14ac:dyDescent="0.2">
      <c r="B31" s="2">
        <f t="shared" si="1"/>
        <v>7</v>
      </c>
      <c r="C31" s="7">
        <f t="shared" si="2"/>
        <v>0.9990889488055994</v>
      </c>
      <c r="D31" s="3">
        <f t="shared" si="0"/>
        <v>0.9990889488055994</v>
      </c>
      <c r="E31" s="3"/>
    </row>
    <row r="32" spans="2:5" x14ac:dyDescent="0.2">
      <c r="B32" s="2">
        <f t="shared" si="1"/>
        <v>7.5</v>
      </c>
      <c r="C32" s="7">
        <f t="shared" si="2"/>
        <v>0.9994472213630764</v>
      </c>
      <c r="D32" s="3">
        <f t="shared" si="0"/>
        <v>0.9994472213630764</v>
      </c>
      <c r="E32" s="3"/>
    </row>
    <row r="33" spans="2:5" x14ac:dyDescent="0.2">
      <c r="B33" s="2">
        <f t="shared" si="1"/>
        <v>8</v>
      </c>
      <c r="C33" s="7">
        <f t="shared" si="2"/>
        <v>0.99966464986953352</v>
      </c>
      <c r="D33" s="3">
        <f t="shared" si="0"/>
        <v>0.99966464986953352</v>
      </c>
      <c r="E33" s="3"/>
    </row>
    <row r="34" spans="2:5" x14ac:dyDescent="0.2">
      <c r="B34" s="2">
        <f t="shared" si="1"/>
        <v>8.5</v>
      </c>
      <c r="C34" s="7">
        <f t="shared" si="2"/>
        <v>0.9997965730219448</v>
      </c>
      <c r="D34" s="3">
        <f t="shared" si="0"/>
        <v>0.9997965730219448</v>
      </c>
      <c r="E34" s="3"/>
    </row>
    <row r="35" spans="2:5" x14ac:dyDescent="0.2">
      <c r="B35" s="2">
        <f t="shared" si="1"/>
        <v>9</v>
      </c>
      <c r="C35" s="7">
        <f t="shared" si="2"/>
        <v>0.9998766054240138</v>
      </c>
      <c r="D35" s="3">
        <f t="shared" si="0"/>
        <v>0.9998766054240138</v>
      </c>
      <c r="E35" s="3"/>
    </row>
    <row r="36" spans="2:5" x14ac:dyDescent="0.2">
      <c r="B36" s="2">
        <f t="shared" si="1"/>
        <v>9.5</v>
      </c>
      <c r="C36" s="7">
        <f t="shared" si="2"/>
        <v>0.99992515377248936</v>
      </c>
      <c r="D36" s="3">
        <f t="shared" si="0"/>
        <v>0.99992515377248936</v>
      </c>
      <c r="E36" s="3"/>
    </row>
    <row r="37" spans="2:5" x14ac:dyDescent="0.2">
      <c r="B37" s="2">
        <f t="shared" si="1"/>
        <v>10</v>
      </c>
      <c r="C37" s="7">
        <f t="shared" si="2"/>
        <v>0.99995460213129761</v>
      </c>
      <c r="D37" s="3">
        <f t="shared" si="0"/>
        <v>0.99995460213129761</v>
      </c>
      <c r="E37" s="3"/>
    </row>
    <row r="38" spans="2:5" x14ac:dyDescent="0.2">
      <c r="B38" s="2">
        <f t="shared" si="1"/>
        <v>10.5</v>
      </c>
      <c r="C38" s="7">
        <f t="shared" si="2"/>
        <v>0.99997246430888542</v>
      </c>
      <c r="D38" s="3">
        <f t="shared" si="0"/>
        <v>0.99997246430888542</v>
      </c>
      <c r="E38" s="3"/>
    </row>
    <row r="39" spans="2:5" x14ac:dyDescent="0.2">
      <c r="B39" s="2">
        <f t="shared" si="1"/>
        <v>11</v>
      </c>
      <c r="C39" s="7">
        <f t="shared" si="2"/>
        <v>0.99998329857815194</v>
      </c>
      <c r="D39" s="3">
        <f t="shared" ref="D39:D57" si="3">Sigmoid($G$7*B39+$F$7)</f>
        <v>0.99998329857815194</v>
      </c>
      <c r="E39" s="3"/>
    </row>
    <row r="40" spans="2:5" x14ac:dyDescent="0.2">
      <c r="B40" s="2">
        <f t="shared" si="1"/>
        <v>11.5</v>
      </c>
      <c r="C40" s="7">
        <f t="shared" si="2"/>
        <v>0.99998987000901918</v>
      </c>
      <c r="D40" s="3">
        <f t="shared" si="3"/>
        <v>0.99998987000901918</v>
      </c>
      <c r="E40" s="3"/>
    </row>
    <row r="41" spans="2:5" x14ac:dyDescent="0.2">
      <c r="B41" s="2">
        <f t="shared" si="1"/>
        <v>12</v>
      </c>
      <c r="C41" s="7">
        <f t="shared" si="2"/>
        <v>0.99999385582539779</v>
      </c>
      <c r="D41" s="3">
        <f t="shared" si="3"/>
        <v>0.99999385582539779</v>
      </c>
      <c r="E41" s="3"/>
    </row>
    <row r="42" spans="2:5" x14ac:dyDescent="0.2">
      <c r="B42" s="2">
        <f t="shared" si="1"/>
        <v>12.5</v>
      </c>
      <c r="C42" s="7">
        <f t="shared" si="2"/>
        <v>0.99999627336071584</v>
      </c>
      <c r="D42" s="3">
        <f t="shared" si="3"/>
        <v>0.99999627336071584</v>
      </c>
      <c r="E42" s="3"/>
    </row>
    <row r="43" spans="2:5" x14ac:dyDescent="0.2">
      <c r="B43" s="2">
        <f t="shared" si="1"/>
        <v>13</v>
      </c>
      <c r="C43" s="7">
        <f t="shared" si="2"/>
        <v>0.99999773967570205</v>
      </c>
      <c r="D43" s="3">
        <f t="shared" si="3"/>
        <v>0.99999773967570205</v>
      </c>
      <c r="E43" s="3"/>
    </row>
    <row r="44" spans="2:5" x14ac:dyDescent="0.2">
      <c r="B44" s="2">
        <f t="shared" si="1"/>
        <v>13.5</v>
      </c>
      <c r="C44" s="7">
        <f t="shared" si="2"/>
        <v>0.99999862904279313</v>
      </c>
      <c r="D44" s="3">
        <f t="shared" si="3"/>
        <v>0.99999862904279313</v>
      </c>
      <c r="E44" s="3"/>
    </row>
    <row r="45" spans="2:5" x14ac:dyDescent="0.2">
      <c r="B45" s="2">
        <f t="shared" si="1"/>
        <v>14</v>
      </c>
      <c r="C45" s="7">
        <f t="shared" si="2"/>
        <v>0.99999916847197234</v>
      </c>
      <c r="D45" s="3">
        <f t="shared" si="3"/>
        <v>0.99999916847197234</v>
      </c>
      <c r="E45" s="3"/>
    </row>
    <row r="46" spans="2:5" x14ac:dyDescent="0.2">
      <c r="B46" s="2">
        <f t="shared" si="1"/>
        <v>14.5</v>
      </c>
      <c r="C46" s="7">
        <f t="shared" si="2"/>
        <v>0.99999949565259183</v>
      </c>
      <c r="D46" s="3">
        <f t="shared" si="3"/>
        <v>0.99999949565259183</v>
      </c>
      <c r="E46" s="3"/>
    </row>
    <row r="47" spans="2:5" x14ac:dyDescent="0.2">
      <c r="B47" s="2">
        <f t="shared" si="1"/>
        <v>15</v>
      </c>
      <c r="C47" s="7">
        <f t="shared" si="2"/>
        <v>0.99999969409777312</v>
      </c>
      <c r="D47" s="3">
        <f t="shared" si="3"/>
        <v>0.99999969409777312</v>
      </c>
      <c r="E47" s="3"/>
    </row>
    <row r="48" spans="2:5" x14ac:dyDescent="0.2">
      <c r="B48" s="2">
        <f t="shared" si="1"/>
        <v>15.5</v>
      </c>
      <c r="C48" s="7">
        <f t="shared" si="2"/>
        <v>0.99999981446089814</v>
      </c>
      <c r="D48" s="3">
        <f t="shared" si="3"/>
        <v>0.99999981446089814</v>
      </c>
      <c r="E48" s="3"/>
    </row>
    <row r="49" spans="2:5" x14ac:dyDescent="0.2">
      <c r="B49" s="2">
        <f t="shared" si="1"/>
        <v>16</v>
      </c>
      <c r="C49" s="7">
        <f t="shared" si="2"/>
        <v>0.99999988746483792</v>
      </c>
      <c r="D49" s="3">
        <f t="shared" si="3"/>
        <v>0.99999988746483792</v>
      </c>
      <c r="E49" s="3"/>
    </row>
    <row r="50" spans="2:5" x14ac:dyDescent="0.2">
      <c r="B50" s="2">
        <f t="shared" si="1"/>
        <v>16.5</v>
      </c>
      <c r="C50" s="7">
        <f t="shared" si="2"/>
        <v>0.99999993174397095</v>
      </c>
      <c r="D50" s="3">
        <f t="shared" si="3"/>
        <v>0.99999993174397095</v>
      </c>
      <c r="E50" s="3"/>
    </row>
    <row r="51" spans="2:5" x14ac:dyDescent="0.2">
      <c r="B51" s="2">
        <f t="shared" si="1"/>
        <v>17</v>
      </c>
      <c r="C51" s="7">
        <f t="shared" si="2"/>
        <v>0.99999995860062452</v>
      </c>
      <c r="D51" s="3">
        <f t="shared" si="3"/>
        <v>0.99999995860062452</v>
      </c>
      <c r="E51" s="3"/>
    </row>
    <row r="52" spans="2:5" x14ac:dyDescent="0.2">
      <c r="B52" s="2">
        <f t="shared" si="1"/>
        <v>17.5</v>
      </c>
      <c r="C52" s="7">
        <f t="shared" si="2"/>
        <v>0.99999997489000902</v>
      </c>
      <c r="D52" s="3">
        <f t="shared" si="3"/>
        <v>0.99999997489000902</v>
      </c>
      <c r="E52" s="3"/>
    </row>
    <row r="53" spans="2:5" x14ac:dyDescent="0.2">
      <c r="B53" s="2">
        <f t="shared" si="1"/>
        <v>18</v>
      </c>
      <c r="C53" s="7">
        <f t="shared" si="2"/>
        <v>0.9999999847700205</v>
      </c>
      <c r="D53" s="3">
        <f t="shared" si="3"/>
        <v>0.9999999847700205</v>
      </c>
      <c r="E53" s="3"/>
    </row>
    <row r="54" spans="2:5" x14ac:dyDescent="0.2">
      <c r="B54" s="2">
        <f t="shared" si="1"/>
        <v>18.5</v>
      </c>
      <c r="C54" s="7">
        <f t="shared" si="2"/>
        <v>0.99999999076255042</v>
      </c>
      <c r="D54" s="3">
        <f t="shared" si="3"/>
        <v>0.99999999076255042</v>
      </c>
      <c r="E54" s="3"/>
    </row>
    <row r="55" spans="2:5" x14ac:dyDescent="0.2">
      <c r="B55" s="2">
        <f t="shared" si="1"/>
        <v>19</v>
      </c>
      <c r="C55" s="7">
        <f t="shared" si="2"/>
        <v>0.99999999439720355</v>
      </c>
      <c r="D55" s="3">
        <f t="shared" si="3"/>
        <v>0.99999999439720355</v>
      </c>
      <c r="E55" s="3"/>
    </row>
    <row r="56" spans="2:5" x14ac:dyDescent="0.2">
      <c r="B56" s="2">
        <f t="shared" si="1"/>
        <v>19.5</v>
      </c>
      <c r="C56" s="7">
        <f t="shared" si="2"/>
        <v>0.99999999660173222</v>
      </c>
      <c r="D56" s="3">
        <f t="shared" si="3"/>
        <v>0.99999999660173222</v>
      </c>
      <c r="E56" s="3"/>
    </row>
    <row r="57" spans="2:5" x14ac:dyDescent="0.2">
      <c r="B57" s="2">
        <f t="shared" si="1"/>
        <v>20</v>
      </c>
      <c r="C57" s="7">
        <f t="shared" si="2"/>
        <v>0.99999999793884642</v>
      </c>
      <c r="D57" s="3">
        <f t="shared" si="3"/>
        <v>0.99999999793884642</v>
      </c>
      <c r="E57" s="3"/>
    </row>
    <row r="58" spans="2:5" x14ac:dyDescent="0.2">
      <c r="B58" s="2">
        <f t="shared" si="1"/>
        <v>20.5</v>
      </c>
      <c r="C58" s="7">
        <f t="shared" ref="C58:C121" si="4">Sigmoid(B58)</f>
        <v>0.99999999874984713</v>
      </c>
      <c r="D58" s="3">
        <f t="shared" ref="D58:D121" si="5">Sigmoid($G$7*B58+$F$7)</f>
        <v>0.99999999874984713</v>
      </c>
    </row>
    <row r="59" spans="2:5" x14ac:dyDescent="0.2">
      <c r="B59" s="2">
        <f t="shared" si="1"/>
        <v>21</v>
      </c>
      <c r="C59" s="7">
        <f t="shared" si="4"/>
        <v>0.99999999924174399</v>
      </c>
      <c r="D59" s="3">
        <f t="shared" si="5"/>
        <v>0.99999999924174399</v>
      </c>
    </row>
    <row r="60" spans="2:5" x14ac:dyDescent="0.2">
      <c r="B60" s="2">
        <f t="shared" si="1"/>
        <v>21.5</v>
      </c>
      <c r="C60" s="7">
        <f t="shared" si="4"/>
        <v>0.99999999954009444</v>
      </c>
      <c r="D60" s="3">
        <f t="shared" si="5"/>
        <v>0.99999999954009444</v>
      </c>
    </row>
    <row r="61" spans="2:5" x14ac:dyDescent="0.2">
      <c r="B61" s="2">
        <f t="shared" si="1"/>
        <v>22</v>
      </c>
      <c r="C61" s="7">
        <f t="shared" si="4"/>
        <v>0.99999999972105325</v>
      </c>
      <c r="D61" s="3">
        <f t="shared" si="5"/>
        <v>0.99999999972105325</v>
      </c>
    </row>
    <row r="62" spans="2:5" x14ac:dyDescent="0.2">
      <c r="B62" s="2">
        <f t="shared" si="1"/>
        <v>22.5</v>
      </c>
      <c r="C62" s="7">
        <f t="shared" si="4"/>
        <v>0.99999999983081023</v>
      </c>
      <c r="D62" s="3">
        <f t="shared" si="5"/>
        <v>0.99999999983081023</v>
      </c>
    </row>
    <row r="63" spans="2:5" x14ac:dyDescent="0.2">
      <c r="B63" s="2">
        <f t="shared" si="1"/>
        <v>23</v>
      </c>
      <c r="C63" s="7">
        <f t="shared" si="4"/>
        <v>0.9999999998973812</v>
      </c>
      <c r="D63" s="3">
        <f t="shared" si="5"/>
        <v>0.9999999998973812</v>
      </c>
    </row>
    <row r="64" spans="2:5" x14ac:dyDescent="0.2">
      <c r="B64" s="2">
        <f t="shared" si="1"/>
        <v>23.5</v>
      </c>
      <c r="C64" s="7">
        <f t="shared" si="4"/>
        <v>0.99999999993775857</v>
      </c>
      <c r="D64" s="3">
        <f t="shared" si="5"/>
        <v>0.99999999993775857</v>
      </c>
    </row>
    <row r="65" spans="2:4" x14ac:dyDescent="0.2">
      <c r="B65" s="2">
        <f t="shared" si="1"/>
        <v>24</v>
      </c>
      <c r="C65" s="7">
        <f t="shared" si="4"/>
        <v>0.99999999996224864</v>
      </c>
      <c r="D65" s="3">
        <f t="shared" si="5"/>
        <v>0.99999999996224864</v>
      </c>
    </row>
    <row r="66" spans="2:4" x14ac:dyDescent="0.2">
      <c r="B66" s="2">
        <f t="shared" si="1"/>
        <v>24.5</v>
      </c>
      <c r="C66" s="7">
        <f t="shared" si="4"/>
        <v>0.99999999997710265</v>
      </c>
      <c r="D66" s="3">
        <f t="shared" si="5"/>
        <v>0.99999999997710265</v>
      </c>
    </row>
    <row r="67" spans="2:4" x14ac:dyDescent="0.2">
      <c r="B67" s="2">
        <f t="shared" si="1"/>
        <v>25</v>
      </c>
      <c r="C67" s="7">
        <f t="shared" si="4"/>
        <v>0.99999999998611211</v>
      </c>
      <c r="D67" s="3">
        <f t="shared" si="5"/>
        <v>0.99999999998611211</v>
      </c>
    </row>
    <row r="68" spans="2:4" x14ac:dyDescent="0.2">
      <c r="B68" s="2">
        <f t="shared" si="1"/>
        <v>25.5</v>
      </c>
      <c r="C68" s="7">
        <f t="shared" si="4"/>
        <v>0.99999999999157652</v>
      </c>
      <c r="D68" s="3">
        <f t="shared" si="5"/>
        <v>0.99999999999157652</v>
      </c>
    </row>
    <row r="69" spans="2:4" x14ac:dyDescent="0.2">
      <c r="B69" s="2">
        <f t="shared" si="1"/>
        <v>26</v>
      </c>
      <c r="C69" s="7">
        <f t="shared" si="4"/>
        <v>0.99999999999489086</v>
      </c>
      <c r="D69" s="3">
        <f t="shared" si="5"/>
        <v>0.99999999999489086</v>
      </c>
    </row>
    <row r="70" spans="2:4" x14ac:dyDescent="0.2">
      <c r="B70" s="2">
        <f t="shared" si="1"/>
        <v>26.5</v>
      </c>
      <c r="C70" s="7">
        <f t="shared" si="4"/>
        <v>0.99999999999690115</v>
      </c>
      <c r="D70" s="3">
        <f t="shared" si="5"/>
        <v>0.99999999999690115</v>
      </c>
    </row>
    <row r="71" spans="2:4" x14ac:dyDescent="0.2">
      <c r="B71" s="2">
        <f t="shared" si="1"/>
        <v>27</v>
      </c>
      <c r="C71" s="7">
        <f t="shared" si="4"/>
        <v>0.9999999999981205</v>
      </c>
      <c r="D71" s="3">
        <f t="shared" si="5"/>
        <v>0.9999999999981205</v>
      </c>
    </row>
    <row r="72" spans="2:4" x14ac:dyDescent="0.2">
      <c r="B72" s="2">
        <f t="shared" si="1"/>
        <v>27.5</v>
      </c>
      <c r="C72" s="7">
        <f t="shared" si="4"/>
        <v>0.99999999999886002</v>
      </c>
      <c r="D72" s="3">
        <f t="shared" si="5"/>
        <v>0.99999999999886002</v>
      </c>
    </row>
    <row r="73" spans="2:4" x14ac:dyDescent="0.2">
      <c r="B73" s="2">
        <f t="shared" ref="B73:B136" si="6">B72+$B$4</f>
        <v>28</v>
      </c>
      <c r="C73" s="7">
        <f t="shared" si="4"/>
        <v>0.99999999999930855</v>
      </c>
      <c r="D73" s="3">
        <f t="shared" si="5"/>
        <v>0.99999999999930855</v>
      </c>
    </row>
    <row r="74" spans="2:4" x14ac:dyDescent="0.2">
      <c r="B74" s="2">
        <f t="shared" si="6"/>
        <v>28.5</v>
      </c>
      <c r="C74" s="7">
        <f t="shared" si="4"/>
        <v>0.99999999999958067</v>
      </c>
      <c r="D74" s="3">
        <f t="shared" si="5"/>
        <v>0.99999999999958067</v>
      </c>
    </row>
    <row r="75" spans="2:4" x14ac:dyDescent="0.2">
      <c r="B75" s="2">
        <f t="shared" si="6"/>
        <v>29</v>
      </c>
      <c r="C75" s="7">
        <f t="shared" si="4"/>
        <v>0.99999999999974565</v>
      </c>
      <c r="D75" s="3">
        <f t="shared" si="5"/>
        <v>0.99999999999974565</v>
      </c>
    </row>
    <row r="76" spans="2:4" x14ac:dyDescent="0.2">
      <c r="B76" s="2">
        <f t="shared" si="6"/>
        <v>29.5</v>
      </c>
      <c r="C76" s="7">
        <f t="shared" si="4"/>
        <v>0.99999999999984568</v>
      </c>
      <c r="D76" s="3">
        <f t="shared" si="5"/>
        <v>0.99999999999984568</v>
      </c>
    </row>
    <row r="77" spans="2:4" x14ac:dyDescent="0.2">
      <c r="B77" s="2">
        <f t="shared" si="6"/>
        <v>30</v>
      </c>
      <c r="C77" s="7">
        <f t="shared" si="4"/>
        <v>0.99999999999990641</v>
      </c>
      <c r="D77" s="3">
        <f t="shared" si="5"/>
        <v>0.99999999999990641</v>
      </c>
    </row>
    <row r="78" spans="2:4" x14ac:dyDescent="0.2">
      <c r="B78" s="2">
        <f t="shared" si="6"/>
        <v>30.5</v>
      </c>
      <c r="C78" s="7">
        <f t="shared" si="4"/>
        <v>0.99999999999994327</v>
      </c>
      <c r="D78" s="3">
        <f t="shared" si="5"/>
        <v>0.99999999999994327</v>
      </c>
    </row>
    <row r="79" spans="2:4" x14ac:dyDescent="0.2">
      <c r="B79" s="2">
        <f t="shared" si="6"/>
        <v>31</v>
      </c>
      <c r="C79" s="7">
        <f t="shared" si="4"/>
        <v>0.99999999999996558</v>
      </c>
      <c r="D79" s="3">
        <f t="shared" si="5"/>
        <v>0.99999999999996558</v>
      </c>
    </row>
    <row r="80" spans="2:4" x14ac:dyDescent="0.2">
      <c r="B80" s="2">
        <f t="shared" si="6"/>
        <v>31.5</v>
      </c>
      <c r="C80" s="7">
        <f t="shared" si="4"/>
        <v>0.99999999999997913</v>
      </c>
      <c r="D80" s="3">
        <f t="shared" si="5"/>
        <v>0.99999999999997913</v>
      </c>
    </row>
    <row r="81" spans="2:4" x14ac:dyDescent="0.2">
      <c r="B81" s="2">
        <f t="shared" si="6"/>
        <v>32</v>
      </c>
      <c r="C81" s="7">
        <f t="shared" si="4"/>
        <v>0.99999999999998734</v>
      </c>
      <c r="D81" s="3">
        <f t="shared" si="5"/>
        <v>0.99999999999998734</v>
      </c>
    </row>
    <row r="82" spans="2:4" x14ac:dyDescent="0.2">
      <c r="B82" s="2">
        <f t="shared" si="6"/>
        <v>32.5</v>
      </c>
      <c r="C82" s="7">
        <f t="shared" si="4"/>
        <v>0.99999999999999234</v>
      </c>
      <c r="D82" s="3">
        <f t="shared" si="5"/>
        <v>0.99999999999999234</v>
      </c>
    </row>
    <row r="83" spans="2:4" x14ac:dyDescent="0.2">
      <c r="B83" s="2">
        <f t="shared" si="6"/>
        <v>33</v>
      </c>
      <c r="C83" s="7">
        <f t="shared" si="4"/>
        <v>0.99999999999999534</v>
      </c>
      <c r="D83" s="3">
        <f t="shared" si="5"/>
        <v>0.99999999999999534</v>
      </c>
    </row>
    <row r="84" spans="2:4" x14ac:dyDescent="0.2">
      <c r="B84" s="2">
        <f t="shared" si="6"/>
        <v>33.5</v>
      </c>
      <c r="C84" s="7">
        <f t="shared" si="4"/>
        <v>0.99999999999999722</v>
      </c>
      <c r="D84" s="3">
        <f t="shared" si="5"/>
        <v>0.99999999999999722</v>
      </c>
    </row>
    <row r="85" spans="2:4" x14ac:dyDescent="0.2">
      <c r="B85" s="2">
        <f t="shared" si="6"/>
        <v>34</v>
      </c>
      <c r="C85" s="7">
        <f t="shared" si="4"/>
        <v>0.99999999999999833</v>
      </c>
      <c r="D85" s="3">
        <f t="shared" si="5"/>
        <v>0.99999999999999833</v>
      </c>
    </row>
    <row r="86" spans="2:4" x14ac:dyDescent="0.2">
      <c r="B86" s="2">
        <f t="shared" si="6"/>
        <v>34.5</v>
      </c>
      <c r="C86" s="7">
        <f t="shared" si="4"/>
        <v>0.999999999999999</v>
      </c>
      <c r="D86" s="3">
        <f t="shared" si="5"/>
        <v>0.999999999999999</v>
      </c>
    </row>
    <row r="87" spans="2:4" x14ac:dyDescent="0.2">
      <c r="B87" s="2">
        <f t="shared" si="6"/>
        <v>35</v>
      </c>
      <c r="C87" s="7">
        <f t="shared" si="4"/>
        <v>0.99999999999999933</v>
      </c>
      <c r="D87" s="3">
        <f t="shared" si="5"/>
        <v>0.99999999999999933</v>
      </c>
    </row>
    <row r="88" spans="2:4" x14ac:dyDescent="0.2">
      <c r="B88" s="2">
        <f t="shared" si="6"/>
        <v>35.5</v>
      </c>
      <c r="C88" s="7">
        <f t="shared" si="4"/>
        <v>0.99999999999999967</v>
      </c>
      <c r="D88" s="3">
        <f t="shared" si="5"/>
        <v>0.99999999999999967</v>
      </c>
    </row>
    <row r="89" spans="2:4" x14ac:dyDescent="0.2">
      <c r="B89" s="2">
        <f t="shared" si="6"/>
        <v>36</v>
      </c>
      <c r="C89" s="7">
        <f t="shared" si="4"/>
        <v>0.99999999999999978</v>
      </c>
      <c r="D89" s="3">
        <f t="shared" si="5"/>
        <v>0.99999999999999978</v>
      </c>
    </row>
    <row r="90" spans="2:4" x14ac:dyDescent="0.2">
      <c r="B90" s="2">
        <f t="shared" si="6"/>
        <v>36.5</v>
      </c>
      <c r="C90" s="7">
        <f t="shared" si="4"/>
        <v>0.99999999999999989</v>
      </c>
      <c r="D90" s="3">
        <f t="shared" si="5"/>
        <v>0.99999999999999989</v>
      </c>
    </row>
    <row r="91" spans="2:4" x14ac:dyDescent="0.2">
      <c r="B91" s="2">
        <f t="shared" si="6"/>
        <v>37</v>
      </c>
      <c r="C91" s="7">
        <f t="shared" si="4"/>
        <v>0.99999999999999989</v>
      </c>
      <c r="D91" s="3">
        <f t="shared" si="5"/>
        <v>0.99999999999999989</v>
      </c>
    </row>
    <row r="92" spans="2:4" x14ac:dyDescent="0.2">
      <c r="B92" s="2">
        <f t="shared" si="6"/>
        <v>37.5</v>
      </c>
      <c r="C92" s="7">
        <f t="shared" si="4"/>
        <v>1</v>
      </c>
      <c r="D92" s="3">
        <f t="shared" si="5"/>
        <v>1</v>
      </c>
    </row>
    <row r="93" spans="2:4" x14ac:dyDescent="0.2">
      <c r="B93" s="2">
        <f t="shared" si="6"/>
        <v>38</v>
      </c>
      <c r="C93" s="7">
        <f t="shared" si="4"/>
        <v>1</v>
      </c>
      <c r="D93" s="3">
        <f t="shared" si="5"/>
        <v>1</v>
      </c>
    </row>
    <row r="94" spans="2:4" x14ac:dyDescent="0.2">
      <c r="B94" s="2">
        <f t="shared" si="6"/>
        <v>38.5</v>
      </c>
      <c r="C94" s="7">
        <f t="shared" si="4"/>
        <v>1</v>
      </c>
      <c r="D94" s="3">
        <f t="shared" si="5"/>
        <v>1</v>
      </c>
    </row>
    <row r="95" spans="2:4" x14ac:dyDescent="0.2">
      <c r="B95" s="2">
        <f t="shared" si="6"/>
        <v>39</v>
      </c>
      <c r="C95" s="7">
        <f t="shared" si="4"/>
        <v>1</v>
      </c>
      <c r="D95" s="3">
        <f t="shared" si="5"/>
        <v>1</v>
      </c>
    </row>
    <row r="96" spans="2:4" x14ac:dyDescent="0.2">
      <c r="B96" s="2">
        <f t="shared" si="6"/>
        <v>39.5</v>
      </c>
      <c r="C96" s="7">
        <f t="shared" si="4"/>
        <v>1</v>
      </c>
      <c r="D96" s="3">
        <f t="shared" si="5"/>
        <v>1</v>
      </c>
    </row>
    <row r="97" spans="2:4" x14ac:dyDescent="0.2">
      <c r="B97" s="2">
        <f t="shared" si="6"/>
        <v>40</v>
      </c>
      <c r="C97" s="7">
        <f t="shared" si="4"/>
        <v>1</v>
      </c>
      <c r="D97" s="3">
        <f t="shared" si="5"/>
        <v>1</v>
      </c>
    </row>
    <row r="98" spans="2:4" x14ac:dyDescent="0.2">
      <c r="B98" s="2">
        <f t="shared" si="6"/>
        <v>40.5</v>
      </c>
      <c r="C98" s="7">
        <f t="shared" si="4"/>
        <v>1</v>
      </c>
      <c r="D98" s="3">
        <f t="shared" si="5"/>
        <v>1</v>
      </c>
    </row>
    <row r="99" spans="2:4" x14ac:dyDescent="0.2">
      <c r="B99" s="2">
        <f t="shared" si="6"/>
        <v>41</v>
      </c>
      <c r="C99" s="7">
        <f t="shared" si="4"/>
        <v>1</v>
      </c>
      <c r="D99" s="3">
        <f t="shared" si="5"/>
        <v>1</v>
      </c>
    </row>
    <row r="100" spans="2:4" x14ac:dyDescent="0.2">
      <c r="B100" s="2">
        <f t="shared" si="6"/>
        <v>41.5</v>
      </c>
      <c r="C100" s="7">
        <f t="shared" si="4"/>
        <v>1</v>
      </c>
      <c r="D100" s="3">
        <f t="shared" si="5"/>
        <v>1</v>
      </c>
    </row>
    <row r="101" spans="2:4" x14ac:dyDescent="0.2">
      <c r="B101" s="2">
        <f t="shared" si="6"/>
        <v>42</v>
      </c>
      <c r="C101" s="7">
        <f t="shared" si="4"/>
        <v>1</v>
      </c>
      <c r="D101" s="3">
        <f t="shared" si="5"/>
        <v>1</v>
      </c>
    </row>
    <row r="102" spans="2:4" x14ac:dyDescent="0.2">
      <c r="B102" s="2">
        <f t="shared" si="6"/>
        <v>42.5</v>
      </c>
      <c r="C102" s="7">
        <f t="shared" si="4"/>
        <v>1</v>
      </c>
      <c r="D102" s="3">
        <f t="shared" si="5"/>
        <v>1</v>
      </c>
    </row>
    <row r="103" spans="2:4" x14ac:dyDescent="0.2">
      <c r="B103" s="2">
        <f t="shared" si="6"/>
        <v>43</v>
      </c>
      <c r="C103" s="7">
        <f t="shared" si="4"/>
        <v>1</v>
      </c>
      <c r="D103" s="3">
        <f t="shared" si="5"/>
        <v>1</v>
      </c>
    </row>
    <row r="104" spans="2:4" x14ac:dyDescent="0.2">
      <c r="B104" s="2">
        <f t="shared" si="6"/>
        <v>43.5</v>
      </c>
      <c r="C104" s="7">
        <f t="shared" si="4"/>
        <v>1</v>
      </c>
      <c r="D104" s="3">
        <f t="shared" si="5"/>
        <v>1</v>
      </c>
    </row>
    <row r="105" spans="2:4" x14ac:dyDescent="0.2">
      <c r="B105" s="2">
        <f t="shared" si="6"/>
        <v>44</v>
      </c>
      <c r="C105" s="7">
        <f t="shared" si="4"/>
        <v>1</v>
      </c>
      <c r="D105" s="3">
        <f t="shared" si="5"/>
        <v>1</v>
      </c>
    </row>
    <row r="106" spans="2:4" x14ac:dyDescent="0.2">
      <c r="B106" s="2">
        <f t="shared" si="6"/>
        <v>44.5</v>
      </c>
      <c r="C106" s="7">
        <f t="shared" si="4"/>
        <v>1</v>
      </c>
      <c r="D106" s="3">
        <f t="shared" si="5"/>
        <v>1</v>
      </c>
    </row>
    <row r="107" spans="2:4" x14ac:dyDescent="0.2">
      <c r="B107" s="2">
        <f t="shared" si="6"/>
        <v>45</v>
      </c>
      <c r="C107" s="7">
        <f t="shared" si="4"/>
        <v>1</v>
      </c>
      <c r="D107" s="3">
        <f t="shared" si="5"/>
        <v>1</v>
      </c>
    </row>
    <row r="108" spans="2:4" x14ac:dyDescent="0.2">
      <c r="B108" s="2">
        <f t="shared" si="6"/>
        <v>45.5</v>
      </c>
      <c r="C108" s="7">
        <f t="shared" si="4"/>
        <v>1</v>
      </c>
      <c r="D108" s="3">
        <f t="shared" si="5"/>
        <v>1</v>
      </c>
    </row>
    <row r="109" spans="2:4" x14ac:dyDescent="0.2">
      <c r="B109" s="2">
        <f t="shared" si="6"/>
        <v>46</v>
      </c>
      <c r="C109" s="7">
        <f t="shared" si="4"/>
        <v>1</v>
      </c>
      <c r="D109" s="3">
        <f t="shared" si="5"/>
        <v>1</v>
      </c>
    </row>
    <row r="110" spans="2:4" x14ac:dyDescent="0.2">
      <c r="B110" s="2">
        <f t="shared" si="6"/>
        <v>46.5</v>
      </c>
      <c r="C110" s="7">
        <f t="shared" si="4"/>
        <v>1</v>
      </c>
      <c r="D110" s="3">
        <f t="shared" si="5"/>
        <v>1</v>
      </c>
    </row>
    <row r="111" spans="2:4" x14ac:dyDescent="0.2">
      <c r="B111" s="2">
        <f t="shared" si="6"/>
        <v>47</v>
      </c>
      <c r="C111" s="7">
        <f t="shared" si="4"/>
        <v>1</v>
      </c>
      <c r="D111" s="3">
        <f t="shared" si="5"/>
        <v>1</v>
      </c>
    </row>
    <row r="112" spans="2:4" x14ac:dyDescent="0.2">
      <c r="B112" s="2">
        <f t="shared" si="6"/>
        <v>47.5</v>
      </c>
      <c r="C112" s="7">
        <f t="shared" si="4"/>
        <v>1</v>
      </c>
      <c r="D112" s="3">
        <f t="shared" si="5"/>
        <v>1</v>
      </c>
    </row>
    <row r="113" spans="2:4" x14ac:dyDescent="0.2">
      <c r="B113" s="2">
        <f t="shared" si="6"/>
        <v>48</v>
      </c>
      <c r="C113" s="7">
        <f t="shared" si="4"/>
        <v>1</v>
      </c>
      <c r="D113" s="3">
        <f t="shared" si="5"/>
        <v>1</v>
      </c>
    </row>
    <row r="114" spans="2:4" x14ac:dyDescent="0.2">
      <c r="B114" s="2">
        <f t="shared" si="6"/>
        <v>48.5</v>
      </c>
      <c r="C114" s="7">
        <f t="shared" si="4"/>
        <v>1</v>
      </c>
      <c r="D114" s="3">
        <f t="shared" si="5"/>
        <v>1</v>
      </c>
    </row>
    <row r="115" spans="2:4" x14ac:dyDescent="0.2">
      <c r="B115" s="2">
        <f t="shared" si="6"/>
        <v>49</v>
      </c>
      <c r="C115" s="7">
        <f t="shared" si="4"/>
        <v>1</v>
      </c>
      <c r="D115" s="3">
        <f t="shared" si="5"/>
        <v>1</v>
      </c>
    </row>
    <row r="116" spans="2:4" x14ac:dyDescent="0.2">
      <c r="B116" s="2">
        <f t="shared" si="6"/>
        <v>49.5</v>
      </c>
      <c r="C116" s="7">
        <f t="shared" si="4"/>
        <v>1</v>
      </c>
      <c r="D116" s="3">
        <f t="shared" si="5"/>
        <v>1</v>
      </c>
    </row>
    <row r="117" spans="2:4" x14ac:dyDescent="0.2">
      <c r="B117" s="2">
        <f t="shared" si="6"/>
        <v>50</v>
      </c>
      <c r="C117" s="7">
        <f t="shared" si="4"/>
        <v>1</v>
      </c>
      <c r="D117" s="3">
        <f t="shared" si="5"/>
        <v>1</v>
      </c>
    </row>
    <row r="118" spans="2:4" x14ac:dyDescent="0.2">
      <c r="B118" s="2">
        <f t="shared" si="6"/>
        <v>50.5</v>
      </c>
      <c r="C118" s="7">
        <f t="shared" si="4"/>
        <v>1</v>
      </c>
      <c r="D118" s="3">
        <f t="shared" si="5"/>
        <v>1</v>
      </c>
    </row>
    <row r="119" spans="2:4" x14ac:dyDescent="0.2">
      <c r="B119" s="2">
        <f t="shared" si="6"/>
        <v>51</v>
      </c>
      <c r="C119" s="7">
        <f t="shared" si="4"/>
        <v>1</v>
      </c>
      <c r="D119" s="3">
        <f t="shared" si="5"/>
        <v>1</v>
      </c>
    </row>
    <row r="120" spans="2:4" x14ac:dyDescent="0.2">
      <c r="B120" s="2">
        <f t="shared" si="6"/>
        <v>51.5</v>
      </c>
      <c r="C120" s="7">
        <f t="shared" si="4"/>
        <v>1</v>
      </c>
      <c r="D120" s="3">
        <f t="shared" si="5"/>
        <v>1</v>
      </c>
    </row>
    <row r="121" spans="2:4" x14ac:dyDescent="0.2">
      <c r="B121" s="2">
        <f t="shared" si="6"/>
        <v>52</v>
      </c>
      <c r="C121" s="7">
        <f t="shared" si="4"/>
        <v>1</v>
      </c>
      <c r="D121" s="3">
        <f t="shared" si="5"/>
        <v>1</v>
      </c>
    </row>
    <row r="122" spans="2:4" x14ac:dyDescent="0.2">
      <c r="B122" s="2">
        <f t="shared" si="6"/>
        <v>52.5</v>
      </c>
      <c r="C122" s="7">
        <f t="shared" ref="C122:C185" si="7">Sigmoid(B122)</f>
        <v>1</v>
      </c>
      <c r="D122" s="3">
        <f t="shared" ref="D122:D185" si="8">Sigmoid($G$7*B122+$F$7)</f>
        <v>1</v>
      </c>
    </row>
    <row r="123" spans="2:4" x14ac:dyDescent="0.2">
      <c r="B123" s="2">
        <f t="shared" si="6"/>
        <v>53</v>
      </c>
      <c r="C123" s="7">
        <f t="shared" si="7"/>
        <v>1</v>
      </c>
      <c r="D123" s="3">
        <f t="shared" si="8"/>
        <v>1</v>
      </c>
    </row>
    <row r="124" spans="2:4" x14ac:dyDescent="0.2">
      <c r="B124" s="2">
        <f t="shared" si="6"/>
        <v>53.5</v>
      </c>
      <c r="C124" s="7">
        <f t="shared" si="7"/>
        <v>1</v>
      </c>
      <c r="D124" s="3">
        <f t="shared" si="8"/>
        <v>1</v>
      </c>
    </row>
    <row r="125" spans="2:4" x14ac:dyDescent="0.2">
      <c r="B125" s="2">
        <f t="shared" si="6"/>
        <v>54</v>
      </c>
      <c r="C125" s="7">
        <f t="shared" si="7"/>
        <v>1</v>
      </c>
      <c r="D125" s="3">
        <f t="shared" si="8"/>
        <v>1</v>
      </c>
    </row>
    <row r="126" spans="2:4" x14ac:dyDescent="0.2">
      <c r="B126" s="2">
        <f t="shared" si="6"/>
        <v>54.5</v>
      </c>
      <c r="C126" s="7">
        <f t="shared" si="7"/>
        <v>1</v>
      </c>
      <c r="D126" s="3">
        <f t="shared" si="8"/>
        <v>1</v>
      </c>
    </row>
    <row r="127" spans="2:4" x14ac:dyDescent="0.2">
      <c r="B127" s="2">
        <f t="shared" si="6"/>
        <v>55</v>
      </c>
      <c r="C127" s="7">
        <f t="shared" si="7"/>
        <v>1</v>
      </c>
      <c r="D127" s="3">
        <f t="shared" si="8"/>
        <v>1</v>
      </c>
    </row>
    <row r="128" spans="2:4" x14ac:dyDescent="0.2">
      <c r="B128" s="2">
        <f t="shared" si="6"/>
        <v>55.5</v>
      </c>
      <c r="C128" s="7">
        <f t="shared" si="7"/>
        <v>1</v>
      </c>
      <c r="D128" s="3">
        <f t="shared" si="8"/>
        <v>1</v>
      </c>
    </row>
    <row r="129" spans="2:4" x14ac:dyDescent="0.2">
      <c r="B129" s="2">
        <f t="shared" si="6"/>
        <v>56</v>
      </c>
      <c r="C129" s="7">
        <f t="shared" si="7"/>
        <v>1</v>
      </c>
      <c r="D129" s="3">
        <f t="shared" si="8"/>
        <v>1</v>
      </c>
    </row>
    <row r="130" spans="2:4" x14ac:dyDescent="0.2">
      <c r="B130" s="2">
        <f t="shared" si="6"/>
        <v>56.5</v>
      </c>
      <c r="C130" s="7">
        <f t="shared" si="7"/>
        <v>1</v>
      </c>
      <c r="D130" s="3">
        <f t="shared" si="8"/>
        <v>1</v>
      </c>
    </row>
    <row r="131" spans="2:4" x14ac:dyDescent="0.2">
      <c r="B131" s="2">
        <f t="shared" si="6"/>
        <v>57</v>
      </c>
      <c r="C131" s="7">
        <f t="shared" si="7"/>
        <v>1</v>
      </c>
      <c r="D131" s="3">
        <f t="shared" si="8"/>
        <v>1</v>
      </c>
    </row>
    <row r="132" spans="2:4" x14ac:dyDescent="0.2">
      <c r="B132" s="2">
        <f t="shared" si="6"/>
        <v>57.5</v>
      </c>
      <c r="C132" s="7">
        <f t="shared" si="7"/>
        <v>1</v>
      </c>
      <c r="D132" s="3">
        <f t="shared" si="8"/>
        <v>1</v>
      </c>
    </row>
    <row r="133" spans="2:4" x14ac:dyDescent="0.2">
      <c r="B133" s="2">
        <f t="shared" si="6"/>
        <v>58</v>
      </c>
      <c r="C133" s="7">
        <f t="shared" si="7"/>
        <v>1</v>
      </c>
      <c r="D133" s="3">
        <f t="shared" si="8"/>
        <v>1</v>
      </c>
    </row>
    <row r="134" spans="2:4" x14ac:dyDescent="0.2">
      <c r="B134" s="2">
        <f t="shared" si="6"/>
        <v>58.5</v>
      </c>
      <c r="C134" s="7">
        <f t="shared" si="7"/>
        <v>1</v>
      </c>
      <c r="D134" s="3">
        <f t="shared" si="8"/>
        <v>1</v>
      </c>
    </row>
    <row r="135" spans="2:4" x14ac:dyDescent="0.2">
      <c r="B135" s="2">
        <f t="shared" si="6"/>
        <v>59</v>
      </c>
      <c r="C135" s="7">
        <f t="shared" si="7"/>
        <v>1</v>
      </c>
      <c r="D135" s="3">
        <f t="shared" si="8"/>
        <v>1</v>
      </c>
    </row>
    <row r="136" spans="2:4" x14ac:dyDescent="0.2">
      <c r="B136" s="2">
        <f t="shared" si="6"/>
        <v>59.5</v>
      </c>
      <c r="C136" s="7">
        <f t="shared" si="7"/>
        <v>1</v>
      </c>
      <c r="D136" s="3">
        <f t="shared" si="8"/>
        <v>1</v>
      </c>
    </row>
    <row r="137" spans="2:4" x14ac:dyDescent="0.2">
      <c r="B137" s="2">
        <f t="shared" ref="B137:B200" si="9">B136+$B$4</f>
        <v>60</v>
      </c>
      <c r="C137" s="7">
        <f t="shared" si="7"/>
        <v>1</v>
      </c>
      <c r="D137" s="3">
        <f t="shared" si="8"/>
        <v>1</v>
      </c>
    </row>
    <row r="138" spans="2:4" x14ac:dyDescent="0.2">
      <c r="B138" s="2">
        <f t="shared" si="9"/>
        <v>60.5</v>
      </c>
      <c r="C138" s="7">
        <f t="shared" si="7"/>
        <v>1</v>
      </c>
      <c r="D138" s="3">
        <f t="shared" si="8"/>
        <v>1</v>
      </c>
    </row>
    <row r="139" spans="2:4" x14ac:dyDescent="0.2">
      <c r="B139" s="2">
        <f t="shared" si="9"/>
        <v>61</v>
      </c>
      <c r="C139" s="7">
        <f t="shared" si="7"/>
        <v>1</v>
      </c>
      <c r="D139" s="3">
        <f t="shared" si="8"/>
        <v>1</v>
      </c>
    </row>
    <row r="140" spans="2:4" x14ac:dyDescent="0.2">
      <c r="B140" s="2">
        <f t="shared" si="9"/>
        <v>61.5</v>
      </c>
      <c r="C140" s="7">
        <f t="shared" si="7"/>
        <v>1</v>
      </c>
      <c r="D140" s="3">
        <f t="shared" si="8"/>
        <v>1</v>
      </c>
    </row>
    <row r="141" spans="2:4" x14ac:dyDescent="0.2">
      <c r="B141" s="2">
        <f t="shared" si="9"/>
        <v>62</v>
      </c>
      <c r="C141" s="7">
        <f t="shared" si="7"/>
        <v>1</v>
      </c>
      <c r="D141" s="3">
        <f t="shared" si="8"/>
        <v>1</v>
      </c>
    </row>
    <row r="142" spans="2:4" x14ac:dyDescent="0.2">
      <c r="B142" s="2">
        <f t="shared" si="9"/>
        <v>62.5</v>
      </c>
      <c r="C142" s="7">
        <f t="shared" si="7"/>
        <v>1</v>
      </c>
      <c r="D142" s="3">
        <f t="shared" si="8"/>
        <v>1</v>
      </c>
    </row>
    <row r="143" spans="2:4" x14ac:dyDescent="0.2">
      <c r="B143" s="2">
        <f t="shared" si="9"/>
        <v>63</v>
      </c>
      <c r="C143" s="7">
        <f t="shared" si="7"/>
        <v>1</v>
      </c>
      <c r="D143" s="3">
        <f t="shared" si="8"/>
        <v>1</v>
      </c>
    </row>
    <row r="144" spans="2:4" x14ac:dyDescent="0.2">
      <c r="B144" s="2">
        <f t="shared" si="9"/>
        <v>63.5</v>
      </c>
      <c r="C144" s="7">
        <f t="shared" si="7"/>
        <v>1</v>
      </c>
      <c r="D144" s="3">
        <f t="shared" si="8"/>
        <v>1</v>
      </c>
    </row>
    <row r="145" spans="2:4" x14ac:dyDescent="0.2">
      <c r="B145" s="2">
        <f t="shared" si="9"/>
        <v>64</v>
      </c>
      <c r="C145" s="7">
        <f t="shared" si="7"/>
        <v>1</v>
      </c>
      <c r="D145" s="3">
        <f t="shared" si="8"/>
        <v>1</v>
      </c>
    </row>
    <row r="146" spans="2:4" x14ac:dyDescent="0.2">
      <c r="B146" s="2">
        <f t="shared" si="9"/>
        <v>64.5</v>
      </c>
      <c r="C146" s="7">
        <f t="shared" si="7"/>
        <v>1</v>
      </c>
      <c r="D146" s="3">
        <f t="shared" si="8"/>
        <v>1</v>
      </c>
    </row>
    <row r="147" spans="2:4" x14ac:dyDescent="0.2">
      <c r="B147" s="2">
        <f t="shared" si="9"/>
        <v>65</v>
      </c>
      <c r="C147" s="7">
        <f t="shared" si="7"/>
        <v>1</v>
      </c>
      <c r="D147" s="3">
        <f t="shared" si="8"/>
        <v>1</v>
      </c>
    </row>
    <row r="148" spans="2:4" x14ac:dyDescent="0.2">
      <c r="B148" s="2">
        <f t="shared" si="9"/>
        <v>65.5</v>
      </c>
      <c r="C148" s="7">
        <f t="shared" si="7"/>
        <v>1</v>
      </c>
      <c r="D148" s="3">
        <f t="shared" si="8"/>
        <v>1</v>
      </c>
    </row>
    <row r="149" spans="2:4" x14ac:dyDescent="0.2">
      <c r="B149" s="2">
        <f t="shared" si="9"/>
        <v>66</v>
      </c>
      <c r="C149" s="7">
        <f t="shared" si="7"/>
        <v>1</v>
      </c>
      <c r="D149" s="3">
        <f t="shared" si="8"/>
        <v>1</v>
      </c>
    </row>
    <row r="150" spans="2:4" x14ac:dyDescent="0.2">
      <c r="B150" s="2">
        <f t="shared" si="9"/>
        <v>66.5</v>
      </c>
      <c r="C150" s="7">
        <f t="shared" si="7"/>
        <v>1</v>
      </c>
      <c r="D150" s="3">
        <f t="shared" si="8"/>
        <v>1</v>
      </c>
    </row>
    <row r="151" spans="2:4" x14ac:dyDescent="0.2">
      <c r="B151" s="2">
        <f t="shared" si="9"/>
        <v>67</v>
      </c>
      <c r="C151" s="7">
        <f t="shared" si="7"/>
        <v>1</v>
      </c>
      <c r="D151" s="3">
        <f t="shared" si="8"/>
        <v>1</v>
      </c>
    </row>
    <row r="152" spans="2:4" x14ac:dyDescent="0.2">
      <c r="B152" s="2">
        <f t="shared" si="9"/>
        <v>67.5</v>
      </c>
      <c r="C152" s="7">
        <f t="shared" si="7"/>
        <v>1</v>
      </c>
      <c r="D152" s="3">
        <f t="shared" si="8"/>
        <v>1</v>
      </c>
    </row>
    <row r="153" spans="2:4" x14ac:dyDescent="0.2">
      <c r="B153" s="2">
        <f t="shared" si="9"/>
        <v>68</v>
      </c>
      <c r="C153" s="7">
        <f t="shared" si="7"/>
        <v>1</v>
      </c>
      <c r="D153" s="3">
        <f t="shared" si="8"/>
        <v>1</v>
      </c>
    </row>
    <row r="154" spans="2:4" x14ac:dyDescent="0.2">
      <c r="B154" s="2">
        <f t="shared" si="9"/>
        <v>68.5</v>
      </c>
      <c r="C154" s="7">
        <f t="shared" si="7"/>
        <v>1</v>
      </c>
      <c r="D154" s="3">
        <f t="shared" si="8"/>
        <v>1</v>
      </c>
    </row>
    <row r="155" spans="2:4" x14ac:dyDescent="0.2">
      <c r="B155" s="2">
        <f t="shared" si="9"/>
        <v>69</v>
      </c>
      <c r="C155" s="7">
        <f t="shared" si="7"/>
        <v>1</v>
      </c>
      <c r="D155" s="3">
        <f t="shared" si="8"/>
        <v>1</v>
      </c>
    </row>
    <row r="156" spans="2:4" x14ac:dyDescent="0.2">
      <c r="B156" s="2">
        <f t="shared" si="9"/>
        <v>69.5</v>
      </c>
      <c r="C156" s="7">
        <f t="shared" si="7"/>
        <v>1</v>
      </c>
      <c r="D156" s="3">
        <f t="shared" si="8"/>
        <v>1</v>
      </c>
    </row>
    <row r="157" spans="2:4" x14ac:dyDescent="0.2">
      <c r="B157" s="2">
        <f t="shared" si="9"/>
        <v>70</v>
      </c>
      <c r="C157" s="7">
        <f t="shared" si="7"/>
        <v>1</v>
      </c>
      <c r="D157" s="3">
        <f t="shared" si="8"/>
        <v>1</v>
      </c>
    </row>
    <row r="158" spans="2:4" x14ac:dyDescent="0.2">
      <c r="B158" s="2">
        <f t="shared" si="9"/>
        <v>70.5</v>
      </c>
      <c r="C158" s="7">
        <f t="shared" si="7"/>
        <v>1</v>
      </c>
      <c r="D158" s="3">
        <f t="shared" si="8"/>
        <v>1</v>
      </c>
    </row>
    <row r="159" spans="2:4" x14ac:dyDescent="0.2">
      <c r="B159" s="2">
        <f t="shared" si="9"/>
        <v>71</v>
      </c>
      <c r="C159" s="7">
        <f t="shared" si="7"/>
        <v>1</v>
      </c>
      <c r="D159" s="3">
        <f t="shared" si="8"/>
        <v>1</v>
      </c>
    </row>
    <row r="160" spans="2:4" x14ac:dyDescent="0.2">
      <c r="B160" s="2">
        <f t="shared" si="9"/>
        <v>71.5</v>
      </c>
      <c r="C160" s="7">
        <f t="shared" si="7"/>
        <v>1</v>
      </c>
      <c r="D160" s="3">
        <f t="shared" si="8"/>
        <v>1</v>
      </c>
    </row>
    <row r="161" spans="2:4" x14ac:dyDescent="0.2">
      <c r="B161" s="2">
        <f t="shared" si="9"/>
        <v>72</v>
      </c>
      <c r="C161" s="7">
        <f t="shared" si="7"/>
        <v>1</v>
      </c>
      <c r="D161" s="3">
        <f t="shared" si="8"/>
        <v>1</v>
      </c>
    </row>
    <row r="162" spans="2:4" x14ac:dyDescent="0.2">
      <c r="B162" s="2">
        <f t="shared" si="9"/>
        <v>72.5</v>
      </c>
      <c r="C162" s="7">
        <f t="shared" si="7"/>
        <v>1</v>
      </c>
      <c r="D162" s="3">
        <f t="shared" si="8"/>
        <v>1</v>
      </c>
    </row>
    <row r="163" spans="2:4" x14ac:dyDescent="0.2">
      <c r="B163" s="2">
        <f t="shared" si="9"/>
        <v>73</v>
      </c>
      <c r="C163" s="7">
        <f t="shared" si="7"/>
        <v>1</v>
      </c>
      <c r="D163" s="3">
        <f t="shared" si="8"/>
        <v>1</v>
      </c>
    </row>
    <row r="164" spans="2:4" x14ac:dyDescent="0.2">
      <c r="B164" s="2">
        <f t="shared" si="9"/>
        <v>73.5</v>
      </c>
      <c r="C164" s="7">
        <f t="shared" si="7"/>
        <v>1</v>
      </c>
      <c r="D164" s="3">
        <f t="shared" si="8"/>
        <v>1</v>
      </c>
    </row>
    <row r="165" spans="2:4" x14ac:dyDescent="0.2">
      <c r="B165" s="2">
        <f t="shared" si="9"/>
        <v>74</v>
      </c>
      <c r="C165" s="7">
        <f t="shared" si="7"/>
        <v>1</v>
      </c>
      <c r="D165" s="3">
        <f t="shared" si="8"/>
        <v>1</v>
      </c>
    </row>
    <row r="166" spans="2:4" x14ac:dyDescent="0.2">
      <c r="B166" s="2">
        <f t="shared" si="9"/>
        <v>74.5</v>
      </c>
      <c r="C166" s="7">
        <f t="shared" si="7"/>
        <v>1</v>
      </c>
      <c r="D166" s="3">
        <f t="shared" si="8"/>
        <v>1</v>
      </c>
    </row>
    <row r="167" spans="2:4" x14ac:dyDescent="0.2">
      <c r="B167" s="2">
        <f t="shared" si="9"/>
        <v>75</v>
      </c>
      <c r="C167" s="7">
        <f t="shared" si="7"/>
        <v>1</v>
      </c>
      <c r="D167" s="3">
        <f t="shared" si="8"/>
        <v>1</v>
      </c>
    </row>
    <row r="168" spans="2:4" x14ac:dyDescent="0.2">
      <c r="B168" s="2">
        <f t="shared" si="9"/>
        <v>75.5</v>
      </c>
      <c r="C168" s="7">
        <f t="shared" si="7"/>
        <v>1</v>
      </c>
      <c r="D168" s="3">
        <f t="shared" si="8"/>
        <v>1</v>
      </c>
    </row>
    <row r="169" spans="2:4" x14ac:dyDescent="0.2">
      <c r="B169" s="2">
        <f t="shared" si="9"/>
        <v>76</v>
      </c>
      <c r="C169" s="7">
        <f t="shared" si="7"/>
        <v>1</v>
      </c>
      <c r="D169" s="3">
        <f t="shared" si="8"/>
        <v>1</v>
      </c>
    </row>
    <row r="170" spans="2:4" x14ac:dyDescent="0.2">
      <c r="B170" s="2">
        <f t="shared" si="9"/>
        <v>76.5</v>
      </c>
      <c r="C170" s="7">
        <f t="shared" si="7"/>
        <v>1</v>
      </c>
      <c r="D170" s="3">
        <f t="shared" si="8"/>
        <v>1</v>
      </c>
    </row>
    <row r="171" spans="2:4" x14ac:dyDescent="0.2">
      <c r="B171" s="2">
        <f t="shared" si="9"/>
        <v>77</v>
      </c>
      <c r="C171" s="7">
        <f t="shared" si="7"/>
        <v>1</v>
      </c>
      <c r="D171" s="3">
        <f t="shared" si="8"/>
        <v>1</v>
      </c>
    </row>
    <row r="172" spans="2:4" x14ac:dyDescent="0.2">
      <c r="B172" s="2">
        <f t="shared" si="9"/>
        <v>77.5</v>
      </c>
      <c r="C172" s="7">
        <f t="shared" si="7"/>
        <v>1</v>
      </c>
      <c r="D172" s="3">
        <f t="shared" si="8"/>
        <v>1</v>
      </c>
    </row>
    <row r="173" spans="2:4" x14ac:dyDescent="0.2">
      <c r="B173" s="2">
        <f t="shared" si="9"/>
        <v>78</v>
      </c>
      <c r="C173" s="7">
        <f t="shared" si="7"/>
        <v>1</v>
      </c>
      <c r="D173" s="3">
        <f t="shared" si="8"/>
        <v>1</v>
      </c>
    </row>
    <row r="174" spans="2:4" x14ac:dyDescent="0.2">
      <c r="B174" s="2">
        <f t="shared" si="9"/>
        <v>78.5</v>
      </c>
      <c r="C174" s="7">
        <f t="shared" si="7"/>
        <v>1</v>
      </c>
      <c r="D174" s="3">
        <f t="shared" si="8"/>
        <v>1</v>
      </c>
    </row>
    <row r="175" spans="2:4" x14ac:dyDescent="0.2">
      <c r="B175" s="2">
        <f t="shared" si="9"/>
        <v>79</v>
      </c>
      <c r="C175" s="7">
        <f t="shared" si="7"/>
        <v>1</v>
      </c>
      <c r="D175" s="3">
        <f t="shared" si="8"/>
        <v>1</v>
      </c>
    </row>
    <row r="176" spans="2:4" x14ac:dyDescent="0.2">
      <c r="B176" s="2">
        <f t="shared" si="9"/>
        <v>79.5</v>
      </c>
      <c r="C176" s="7">
        <f t="shared" si="7"/>
        <v>1</v>
      </c>
      <c r="D176" s="3">
        <f t="shared" si="8"/>
        <v>1</v>
      </c>
    </row>
    <row r="177" spans="2:4" x14ac:dyDescent="0.2">
      <c r="B177" s="2">
        <f t="shared" si="9"/>
        <v>80</v>
      </c>
      <c r="C177" s="7">
        <f t="shared" si="7"/>
        <v>1</v>
      </c>
      <c r="D177" s="3">
        <f t="shared" si="8"/>
        <v>1</v>
      </c>
    </row>
    <row r="178" spans="2:4" x14ac:dyDescent="0.2">
      <c r="B178" s="2">
        <f t="shared" si="9"/>
        <v>80.5</v>
      </c>
      <c r="C178" s="7">
        <f t="shared" si="7"/>
        <v>1</v>
      </c>
      <c r="D178" s="3">
        <f t="shared" si="8"/>
        <v>1</v>
      </c>
    </row>
    <row r="179" spans="2:4" x14ac:dyDescent="0.2">
      <c r="B179" s="2">
        <f t="shared" si="9"/>
        <v>81</v>
      </c>
      <c r="C179" s="7">
        <f t="shared" si="7"/>
        <v>1</v>
      </c>
      <c r="D179" s="3">
        <f t="shared" si="8"/>
        <v>1</v>
      </c>
    </row>
    <row r="180" spans="2:4" x14ac:dyDescent="0.2">
      <c r="B180" s="2">
        <f t="shared" si="9"/>
        <v>81.5</v>
      </c>
      <c r="C180" s="7">
        <f t="shared" si="7"/>
        <v>1</v>
      </c>
      <c r="D180" s="3">
        <f t="shared" si="8"/>
        <v>1</v>
      </c>
    </row>
    <row r="181" spans="2:4" x14ac:dyDescent="0.2">
      <c r="B181" s="2">
        <f t="shared" si="9"/>
        <v>82</v>
      </c>
      <c r="C181" s="7">
        <f t="shared" si="7"/>
        <v>1</v>
      </c>
      <c r="D181" s="3">
        <f t="shared" si="8"/>
        <v>1</v>
      </c>
    </row>
    <row r="182" spans="2:4" x14ac:dyDescent="0.2">
      <c r="B182" s="2">
        <f t="shared" si="9"/>
        <v>82.5</v>
      </c>
      <c r="C182" s="7">
        <f t="shared" si="7"/>
        <v>1</v>
      </c>
      <c r="D182" s="3">
        <f t="shared" si="8"/>
        <v>1</v>
      </c>
    </row>
    <row r="183" spans="2:4" x14ac:dyDescent="0.2">
      <c r="B183" s="2">
        <f t="shared" si="9"/>
        <v>83</v>
      </c>
      <c r="C183" s="7">
        <f t="shared" si="7"/>
        <v>1</v>
      </c>
      <c r="D183" s="3">
        <f t="shared" si="8"/>
        <v>1</v>
      </c>
    </row>
    <row r="184" spans="2:4" x14ac:dyDescent="0.2">
      <c r="B184" s="2">
        <f t="shared" si="9"/>
        <v>83.5</v>
      </c>
      <c r="C184" s="7">
        <f t="shared" si="7"/>
        <v>1</v>
      </c>
      <c r="D184" s="3">
        <f t="shared" si="8"/>
        <v>1</v>
      </c>
    </row>
    <row r="185" spans="2:4" x14ac:dyDescent="0.2">
      <c r="B185" s="2">
        <f t="shared" si="9"/>
        <v>84</v>
      </c>
      <c r="C185" s="7">
        <f t="shared" si="7"/>
        <v>1</v>
      </c>
      <c r="D185" s="3">
        <f t="shared" si="8"/>
        <v>1</v>
      </c>
    </row>
    <row r="186" spans="2:4" x14ac:dyDescent="0.2">
      <c r="B186" s="2">
        <f t="shared" si="9"/>
        <v>84.5</v>
      </c>
      <c r="C186" s="7">
        <f t="shared" ref="C186:C232" si="10">Sigmoid(B186)</f>
        <v>1</v>
      </c>
      <c r="D186" s="3">
        <f t="shared" ref="D186:D232" si="11">Sigmoid($G$7*B186+$F$7)</f>
        <v>1</v>
      </c>
    </row>
    <row r="187" spans="2:4" x14ac:dyDescent="0.2">
      <c r="B187" s="2">
        <f t="shared" si="9"/>
        <v>85</v>
      </c>
      <c r="C187" s="7">
        <f t="shared" si="10"/>
        <v>1</v>
      </c>
      <c r="D187" s="3">
        <f t="shared" si="11"/>
        <v>1</v>
      </c>
    </row>
    <row r="188" spans="2:4" x14ac:dyDescent="0.2">
      <c r="B188" s="2">
        <f t="shared" si="9"/>
        <v>85.5</v>
      </c>
      <c r="C188" s="7">
        <f t="shared" si="10"/>
        <v>1</v>
      </c>
      <c r="D188" s="3">
        <f t="shared" si="11"/>
        <v>1</v>
      </c>
    </row>
    <row r="189" spans="2:4" x14ac:dyDescent="0.2">
      <c r="B189" s="2">
        <f t="shared" si="9"/>
        <v>86</v>
      </c>
      <c r="C189" s="7">
        <f t="shared" si="10"/>
        <v>1</v>
      </c>
      <c r="D189" s="3">
        <f t="shared" si="11"/>
        <v>1</v>
      </c>
    </row>
    <row r="190" spans="2:4" x14ac:dyDescent="0.2">
      <c r="B190" s="2">
        <f t="shared" si="9"/>
        <v>86.5</v>
      </c>
      <c r="C190" s="7">
        <f t="shared" si="10"/>
        <v>1</v>
      </c>
      <c r="D190" s="3">
        <f t="shared" si="11"/>
        <v>1</v>
      </c>
    </row>
    <row r="191" spans="2:4" x14ac:dyDescent="0.2">
      <c r="B191" s="2">
        <f t="shared" si="9"/>
        <v>87</v>
      </c>
      <c r="C191" s="7">
        <f t="shared" si="10"/>
        <v>1</v>
      </c>
      <c r="D191" s="3">
        <f t="shared" si="11"/>
        <v>1</v>
      </c>
    </row>
    <row r="192" spans="2:4" x14ac:dyDescent="0.2">
      <c r="B192" s="2">
        <f t="shared" si="9"/>
        <v>87.5</v>
      </c>
      <c r="C192" s="7">
        <f t="shared" si="10"/>
        <v>1</v>
      </c>
      <c r="D192" s="3">
        <f t="shared" si="11"/>
        <v>1</v>
      </c>
    </row>
    <row r="193" spans="2:4" x14ac:dyDescent="0.2">
      <c r="B193" s="2">
        <f t="shared" si="9"/>
        <v>88</v>
      </c>
      <c r="C193" s="7">
        <f t="shared" si="10"/>
        <v>1</v>
      </c>
      <c r="D193" s="3">
        <f t="shared" si="11"/>
        <v>1</v>
      </c>
    </row>
    <row r="194" spans="2:4" x14ac:dyDescent="0.2">
      <c r="B194" s="2">
        <f t="shared" si="9"/>
        <v>88.5</v>
      </c>
      <c r="C194" s="7">
        <f t="shared" si="10"/>
        <v>1</v>
      </c>
      <c r="D194" s="3">
        <f t="shared" si="11"/>
        <v>1</v>
      </c>
    </row>
    <row r="195" spans="2:4" x14ac:dyDescent="0.2">
      <c r="B195" s="2">
        <f t="shared" si="9"/>
        <v>89</v>
      </c>
      <c r="C195" s="7">
        <f t="shared" si="10"/>
        <v>1</v>
      </c>
      <c r="D195" s="3">
        <f t="shared" si="11"/>
        <v>1</v>
      </c>
    </row>
    <row r="196" spans="2:4" x14ac:dyDescent="0.2">
      <c r="B196" s="2">
        <f t="shared" si="9"/>
        <v>89.5</v>
      </c>
      <c r="C196" s="7">
        <f t="shared" si="10"/>
        <v>1</v>
      </c>
      <c r="D196" s="3">
        <f t="shared" si="11"/>
        <v>1</v>
      </c>
    </row>
    <row r="197" spans="2:4" x14ac:dyDescent="0.2">
      <c r="B197" s="2">
        <f t="shared" si="9"/>
        <v>90</v>
      </c>
      <c r="C197" s="7">
        <f t="shared" si="10"/>
        <v>1</v>
      </c>
      <c r="D197" s="3">
        <f t="shared" si="11"/>
        <v>1</v>
      </c>
    </row>
    <row r="198" spans="2:4" x14ac:dyDescent="0.2">
      <c r="B198" s="2">
        <f t="shared" si="9"/>
        <v>90.5</v>
      </c>
      <c r="C198" s="7">
        <f t="shared" si="10"/>
        <v>1</v>
      </c>
      <c r="D198" s="3">
        <f t="shared" si="11"/>
        <v>1</v>
      </c>
    </row>
    <row r="199" spans="2:4" x14ac:dyDescent="0.2">
      <c r="B199" s="2">
        <f t="shared" si="9"/>
        <v>91</v>
      </c>
      <c r="C199" s="7">
        <f t="shared" si="10"/>
        <v>1</v>
      </c>
      <c r="D199" s="3">
        <f t="shared" si="11"/>
        <v>1</v>
      </c>
    </row>
    <row r="200" spans="2:4" x14ac:dyDescent="0.2">
      <c r="B200" s="2">
        <f t="shared" si="9"/>
        <v>91.5</v>
      </c>
      <c r="C200" s="7">
        <f t="shared" si="10"/>
        <v>1</v>
      </c>
      <c r="D200" s="3">
        <f t="shared" si="11"/>
        <v>1</v>
      </c>
    </row>
    <row r="201" spans="2:4" x14ac:dyDescent="0.2">
      <c r="B201" s="2">
        <f t="shared" ref="B201:B232" si="12">B200+$B$4</f>
        <v>92</v>
      </c>
      <c r="C201" s="7">
        <f t="shared" si="10"/>
        <v>1</v>
      </c>
      <c r="D201" s="3">
        <f t="shared" si="11"/>
        <v>1</v>
      </c>
    </row>
    <row r="202" spans="2:4" x14ac:dyDescent="0.2">
      <c r="B202" s="2">
        <f t="shared" si="12"/>
        <v>92.5</v>
      </c>
      <c r="C202" s="7">
        <f t="shared" si="10"/>
        <v>1</v>
      </c>
      <c r="D202" s="3">
        <f t="shared" si="11"/>
        <v>1</v>
      </c>
    </row>
    <row r="203" spans="2:4" x14ac:dyDescent="0.2">
      <c r="B203" s="2">
        <f t="shared" si="12"/>
        <v>93</v>
      </c>
      <c r="C203" s="7">
        <f t="shared" si="10"/>
        <v>1</v>
      </c>
      <c r="D203" s="3">
        <f t="shared" si="11"/>
        <v>1</v>
      </c>
    </row>
    <row r="204" spans="2:4" x14ac:dyDescent="0.2">
      <c r="B204" s="2">
        <f t="shared" si="12"/>
        <v>93.5</v>
      </c>
      <c r="C204" s="7">
        <f t="shared" si="10"/>
        <v>1</v>
      </c>
      <c r="D204" s="3">
        <f t="shared" si="11"/>
        <v>1</v>
      </c>
    </row>
    <row r="205" spans="2:4" x14ac:dyDescent="0.2">
      <c r="B205" s="2">
        <f t="shared" si="12"/>
        <v>94</v>
      </c>
      <c r="C205" s="7">
        <f t="shared" si="10"/>
        <v>1</v>
      </c>
      <c r="D205" s="3">
        <f t="shared" si="11"/>
        <v>1</v>
      </c>
    </row>
    <row r="206" spans="2:4" x14ac:dyDescent="0.2">
      <c r="B206" s="2">
        <f t="shared" si="12"/>
        <v>94.5</v>
      </c>
      <c r="C206" s="7">
        <f t="shared" si="10"/>
        <v>1</v>
      </c>
      <c r="D206" s="3">
        <f t="shared" si="11"/>
        <v>1</v>
      </c>
    </row>
    <row r="207" spans="2:4" x14ac:dyDescent="0.2">
      <c r="B207" s="2">
        <f t="shared" si="12"/>
        <v>95</v>
      </c>
      <c r="C207" s="7">
        <f t="shared" si="10"/>
        <v>1</v>
      </c>
      <c r="D207" s="3">
        <f t="shared" si="11"/>
        <v>1</v>
      </c>
    </row>
    <row r="208" spans="2:4" x14ac:dyDescent="0.2">
      <c r="B208" s="2">
        <f t="shared" si="12"/>
        <v>95.5</v>
      </c>
      <c r="C208" s="7">
        <f t="shared" si="10"/>
        <v>1</v>
      </c>
      <c r="D208" s="3">
        <f t="shared" si="11"/>
        <v>1</v>
      </c>
    </row>
    <row r="209" spans="2:4" x14ac:dyDescent="0.2">
      <c r="B209" s="2">
        <f t="shared" si="12"/>
        <v>96</v>
      </c>
      <c r="C209" s="7">
        <f t="shared" si="10"/>
        <v>1</v>
      </c>
      <c r="D209" s="3">
        <f t="shared" si="11"/>
        <v>1</v>
      </c>
    </row>
    <row r="210" spans="2:4" x14ac:dyDescent="0.2">
      <c r="B210" s="2">
        <f t="shared" si="12"/>
        <v>96.5</v>
      </c>
      <c r="C210" s="7">
        <f t="shared" si="10"/>
        <v>1</v>
      </c>
      <c r="D210" s="3">
        <f t="shared" si="11"/>
        <v>1</v>
      </c>
    </row>
    <row r="211" spans="2:4" x14ac:dyDescent="0.2">
      <c r="B211" s="2">
        <f t="shared" si="12"/>
        <v>97</v>
      </c>
      <c r="C211" s="7">
        <f t="shared" si="10"/>
        <v>1</v>
      </c>
      <c r="D211" s="3">
        <f t="shared" si="11"/>
        <v>1</v>
      </c>
    </row>
    <row r="212" spans="2:4" x14ac:dyDescent="0.2">
      <c r="B212" s="2">
        <f t="shared" si="12"/>
        <v>97.5</v>
      </c>
      <c r="C212" s="7">
        <f t="shared" si="10"/>
        <v>1</v>
      </c>
      <c r="D212" s="3">
        <f t="shared" si="11"/>
        <v>1</v>
      </c>
    </row>
    <row r="213" spans="2:4" x14ac:dyDescent="0.2">
      <c r="B213" s="2">
        <f t="shared" si="12"/>
        <v>98</v>
      </c>
      <c r="C213" s="7">
        <f t="shared" si="10"/>
        <v>1</v>
      </c>
      <c r="D213" s="3">
        <f t="shared" si="11"/>
        <v>1</v>
      </c>
    </row>
    <row r="214" spans="2:4" x14ac:dyDescent="0.2">
      <c r="B214" s="2">
        <f t="shared" si="12"/>
        <v>98.5</v>
      </c>
      <c r="C214" s="7">
        <f t="shared" si="10"/>
        <v>1</v>
      </c>
      <c r="D214" s="3">
        <f t="shared" si="11"/>
        <v>1</v>
      </c>
    </row>
    <row r="215" spans="2:4" x14ac:dyDescent="0.2">
      <c r="B215" s="2">
        <f t="shared" si="12"/>
        <v>99</v>
      </c>
      <c r="C215" s="7">
        <f t="shared" si="10"/>
        <v>1</v>
      </c>
      <c r="D215" s="3">
        <f t="shared" si="11"/>
        <v>1</v>
      </c>
    </row>
    <row r="216" spans="2:4" x14ac:dyDescent="0.2">
      <c r="B216" s="2">
        <f t="shared" si="12"/>
        <v>99.5</v>
      </c>
      <c r="C216" s="7">
        <f t="shared" si="10"/>
        <v>1</v>
      </c>
      <c r="D216" s="3">
        <f t="shared" si="11"/>
        <v>1</v>
      </c>
    </row>
    <row r="217" spans="2:4" x14ac:dyDescent="0.2">
      <c r="B217" s="2">
        <f t="shared" si="12"/>
        <v>100</v>
      </c>
      <c r="C217" s="7">
        <f t="shared" si="10"/>
        <v>1</v>
      </c>
      <c r="D217" s="3">
        <f t="shared" si="11"/>
        <v>1</v>
      </c>
    </row>
    <row r="218" spans="2:4" x14ac:dyDescent="0.2">
      <c r="B218" s="2">
        <f t="shared" si="12"/>
        <v>100.5</v>
      </c>
      <c r="C218" s="7">
        <f t="shared" si="10"/>
        <v>1</v>
      </c>
      <c r="D218" s="3">
        <f t="shared" si="11"/>
        <v>1</v>
      </c>
    </row>
    <row r="219" spans="2:4" x14ac:dyDescent="0.2">
      <c r="B219" s="2">
        <f t="shared" si="12"/>
        <v>101</v>
      </c>
      <c r="C219" s="7">
        <f t="shared" si="10"/>
        <v>1</v>
      </c>
      <c r="D219" s="3">
        <f t="shared" si="11"/>
        <v>1</v>
      </c>
    </row>
    <row r="220" spans="2:4" x14ac:dyDescent="0.2">
      <c r="B220" s="2">
        <f t="shared" si="12"/>
        <v>101.5</v>
      </c>
      <c r="C220" s="7">
        <f t="shared" si="10"/>
        <v>1</v>
      </c>
      <c r="D220" s="3">
        <f t="shared" si="11"/>
        <v>1</v>
      </c>
    </row>
    <row r="221" spans="2:4" x14ac:dyDescent="0.2">
      <c r="B221" s="2">
        <f t="shared" si="12"/>
        <v>102</v>
      </c>
      <c r="C221" s="7">
        <f t="shared" si="10"/>
        <v>1</v>
      </c>
      <c r="D221" s="3">
        <f t="shared" si="11"/>
        <v>1</v>
      </c>
    </row>
    <row r="222" spans="2:4" x14ac:dyDescent="0.2">
      <c r="B222" s="2">
        <f t="shared" si="12"/>
        <v>102.5</v>
      </c>
      <c r="C222" s="7">
        <f t="shared" si="10"/>
        <v>1</v>
      </c>
      <c r="D222" s="3">
        <f t="shared" si="11"/>
        <v>1</v>
      </c>
    </row>
    <row r="223" spans="2:4" x14ac:dyDescent="0.2">
      <c r="B223" s="2">
        <f t="shared" si="12"/>
        <v>103</v>
      </c>
      <c r="C223" s="7">
        <f t="shared" si="10"/>
        <v>1</v>
      </c>
      <c r="D223" s="3">
        <f t="shared" si="11"/>
        <v>1</v>
      </c>
    </row>
    <row r="224" spans="2:4" x14ac:dyDescent="0.2">
      <c r="B224" s="2">
        <f t="shared" si="12"/>
        <v>103.5</v>
      </c>
      <c r="C224" s="7">
        <f t="shared" si="10"/>
        <v>1</v>
      </c>
      <c r="D224" s="3">
        <f t="shared" si="11"/>
        <v>1</v>
      </c>
    </row>
    <row r="225" spans="2:4" x14ac:dyDescent="0.2">
      <c r="B225" s="2">
        <f t="shared" si="12"/>
        <v>104</v>
      </c>
      <c r="C225" s="7">
        <f t="shared" si="10"/>
        <v>1</v>
      </c>
      <c r="D225" s="3">
        <f t="shared" si="11"/>
        <v>1</v>
      </c>
    </row>
    <row r="226" spans="2:4" x14ac:dyDescent="0.2">
      <c r="B226" s="2">
        <f t="shared" si="12"/>
        <v>104.5</v>
      </c>
      <c r="C226" s="7">
        <f t="shared" si="10"/>
        <v>1</v>
      </c>
      <c r="D226" s="3">
        <f t="shared" si="11"/>
        <v>1</v>
      </c>
    </row>
    <row r="227" spans="2:4" x14ac:dyDescent="0.2">
      <c r="B227" s="2">
        <f t="shared" si="12"/>
        <v>105</v>
      </c>
      <c r="C227" s="7">
        <f t="shared" si="10"/>
        <v>1</v>
      </c>
      <c r="D227" s="3">
        <f t="shared" si="11"/>
        <v>1</v>
      </c>
    </row>
    <row r="228" spans="2:4" x14ac:dyDescent="0.2">
      <c r="B228" s="2">
        <f t="shared" si="12"/>
        <v>105.5</v>
      </c>
      <c r="C228" s="7">
        <f t="shared" si="10"/>
        <v>1</v>
      </c>
      <c r="D228" s="3">
        <f t="shared" si="11"/>
        <v>1</v>
      </c>
    </row>
    <row r="229" spans="2:4" x14ac:dyDescent="0.2">
      <c r="B229" s="2">
        <f t="shared" si="12"/>
        <v>106</v>
      </c>
      <c r="C229" s="7">
        <f t="shared" si="10"/>
        <v>1</v>
      </c>
      <c r="D229" s="3">
        <f t="shared" si="11"/>
        <v>1</v>
      </c>
    </row>
    <row r="230" spans="2:4" x14ac:dyDescent="0.2">
      <c r="B230" s="2">
        <f t="shared" si="12"/>
        <v>106.5</v>
      </c>
      <c r="C230" s="7">
        <f t="shared" si="10"/>
        <v>1</v>
      </c>
      <c r="D230" s="3">
        <f t="shared" si="11"/>
        <v>1</v>
      </c>
    </row>
    <row r="231" spans="2:4" x14ac:dyDescent="0.2">
      <c r="B231" s="2">
        <f t="shared" si="12"/>
        <v>107</v>
      </c>
      <c r="C231" s="7">
        <f t="shared" si="10"/>
        <v>1</v>
      </c>
      <c r="D231" s="3">
        <f t="shared" si="11"/>
        <v>1</v>
      </c>
    </row>
    <row r="232" spans="2:4" x14ac:dyDescent="0.2">
      <c r="B232" s="2">
        <f t="shared" si="12"/>
        <v>107.5</v>
      </c>
      <c r="C232" s="7">
        <f t="shared" si="10"/>
        <v>1</v>
      </c>
      <c r="D232" s="3">
        <f t="shared" si="11"/>
        <v>1</v>
      </c>
    </row>
  </sheetData>
  <conditionalFormatting sqref="D7:D23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Scroll Bar 1">
              <controlPr defaultSize="0" autoPict="0">
                <anchor moveWithCells="1">
                  <from>
                    <xdr:col>5</xdr:col>
                    <xdr:colOff>114300</xdr:colOff>
                    <xdr:row>7</xdr:row>
                    <xdr:rowOff>38100</xdr:rowOff>
                  </from>
                  <to>
                    <xdr:col>5</xdr:col>
                    <xdr:colOff>482600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Scroll Bar 2">
              <controlPr defaultSize="0" autoPict="0">
                <anchor moveWithCells="1">
                  <from>
                    <xdr:col>6</xdr:col>
                    <xdr:colOff>101600</xdr:colOff>
                    <xdr:row>7</xdr:row>
                    <xdr:rowOff>63500</xdr:rowOff>
                  </from>
                  <to>
                    <xdr:col>6</xdr:col>
                    <xdr:colOff>444500</xdr:colOff>
                    <xdr:row>31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M78"/>
  <sheetViews>
    <sheetView showGridLines="0" tabSelected="1" zoomScaleNormal="100" workbookViewId="0">
      <selection activeCell="G10" sqref="G10"/>
    </sheetView>
  </sheetViews>
  <sheetFormatPr baseColWidth="10" defaultColWidth="8.83203125" defaultRowHeight="15" x14ac:dyDescent="0.2"/>
  <cols>
    <col min="2" max="3" width="13.6640625" customWidth="1"/>
    <col min="4" max="4" width="17.1640625" customWidth="1"/>
    <col min="5" max="5" width="5.33203125" customWidth="1"/>
    <col min="6" max="6" width="11.6640625" customWidth="1"/>
    <col min="7" max="7" width="12" bestFit="1" customWidth="1"/>
    <col min="13" max="13" width="24.33203125" bestFit="1" customWidth="1"/>
    <col min="15" max="15" width="8.33203125" customWidth="1"/>
    <col min="16" max="44" width="5.5" customWidth="1"/>
  </cols>
  <sheetData>
    <row r="1" spans="2:13" ht="21" x14ac:dyDescent="0.25">
      <c r="H1" s="30" t="s">
        <v>8</v>
      </c>
      <c r="I1" s="31" t="s">
        <v>9</v>
      </c>
    </row>
    <row r="2" spans="2:13" ht="22" thickBot="1" x14ac:dyDescent="0.25">
      <c r="H2" s="24">
        <f>(50-K9)/1</f>
        <v>-7</v>
      </c>
      <c r="I2" s="25">
        <f>K10/25</f>
        <v>1.56</v>
      </c>
    </row>
    <row r="3" spans="2:13" ht="33" thickBot="1" x14ac:dyDescent="0.25">
      <c r="B3" s="4" t="s">
        <v>3</v>
      </c>
      <c r="C3" s="5" t="s">
        <v>2</v>
      </c>
      <c r="D3" s="6" t="s">
        <v>2</v>
      </c>
      <c r="F3" s="10" t="s">
        <v>1</v>
      </c>
      <c r="G3" s="10" t="s">
        <v>11</v>
      </c>
      <c r="M3" t="s">
        <v>18</v>
      </c>
    </row>
    <row r="4" spans="2:13" ht="20.5" customHeight="1" x14ac:dyDescent="0.2">
      <c r="B4" s="11">
        <v>1</v>
      </c>
      <c r="C4" s="12" t="s">
        <v>5</v>
      </c>
      <c r="D4" s="17">
        <f>IF(C4="No",0,1)</f>
        <v>0</v>
      </c>
      <c r="F4" s="36">
        <f>1/(1+EXP(-(B4*$I$2+$H$2)))</f>
        <v>4.3207335199119202E-3</v>
      </c>
      <c r="G4" s="29">
        <f>(D4-F4)^2</f>
        <v>1.8668738150090451E-5</v>
      </c>
      <c r="M4" s="67">
        <f>F4-D4</f>
        <v>4.3207335199119202E-3</v>
      </c>
    </row>
    <row r="5" spans="2:13" ht="20.5" customHeight="1" x14ac:dyDescent="0.2">
      <c r="B5" s="13">
        <v>2</v>
      </c>
      <c r="C5" s="14" t="s">
        <v>5</v>
      </c>
      <c r="D5" s="18">
        <f t="shared" ref="D5:D16" si="0">IF(C5="No",0,1)</f>
        <v>0</v>
      </c>
      <c r="F5" s="36">
        <f t="shared" ref="F5:F16" si="1">1/(1+EXP(-(B5*$I$2+$H$2)))</f>
        <v>2.0232997095785403E-2</v>
      </c>
      <c r="G5" s="29">
        <f t="shared" ref="G5:G16" si="2">(D5-F5)^2</f>
        <v>4.0937417147806054E-4</v>
      </c>
      <c r="M5" s="67">
        <f t="shared" ref="M5:M17" si="3">F5-D5</f>
        <v>2.0232997095785403E-2</v>
      </c>
    </row>
    <row r="6" spans="2:13" ht="20.5" customHeight="1" x14ac:dyDescent="0.2">
      <c r="B6" s="13">
        <v>3</v>
      </c>
      <c r="C6" s="14" t="s">
        <v>5</v>
      </c>
      <c r="D6" s="18">
        <f t="shared" si="0"/>
        <v>0</v>
      </c>
      <c r="F6" s="36">
        <f t="shared" si="1"/>
        <v>8.9480059333561401E-2</v>
      </c>
      <c r="G6" s="29">
        <f t="shared" si="2"/>
        <v>8.0066810183376681E-3</v>
      </c>
      <c r="M6" s="67">
        <f t="shared" si="3"/>
        <v>8.9480059333561401E-2</v>
      </c>
    </row>
    <row r="7" spans="2:13" ht="20.5" customHeight="1" x14ac:dyDescent="0.2">
      <c r="B7" s="13">
        <v>4</v>
      </c>
      <c r="C7" s="14" t="s">
        <v>5</v>
      </c>
      <c r="D7" s="18">
        <f t="shared" si="0"/>
        <v>0</v>
      </c>
      <c r="F7" s="36">
        <f t="shared" si="1"/>
        <v>0.31864626621097453</v>
      </c>
      <c r="G7" s="29">
        <f t="shared" si="2"/>
        <v>0.10153544297019525</v>
      </c>
      <c r="M7" s="67">
        <f t="shared" si="3"/>
        <v>0.31864626621097453</v>
      </c>
    </row>
    <row r="8" spans="2:13" ht="20.5" customHeight="1" thickBot="1" x14ac:dyDescent="0.25">
      <c r="B8" s="13">
        <v>4.8</v>
      </c>
      <c r="C8" s="14" t="s">
        <v>4</v>
      </c>
      <c r="D8" s="18">
        <f t="shared" si="0"/>
        <v>1</v>
      </c>
      <c r="F8" s="36">
        <f t="shared" si="1"/>
        <v>0.61963517040717808</v>
      </c>
      <c r="G8" s="29">
        <f t="shared" si="2"/>
        <v>0.14467740359117645</v>
      </c>
      <c r="M8" s="67">
        <f t="shared" si="3"/>
        <v>-0.38036482959282192</v>
      </c>
    </row>
    <row r="9" spans="2:13" ht="20.5" customHeight="1" x14ac:dyDescent="0.2">
      <c r="B9" s="13">
        <v>6</v>
      </c>
      <c r="C9" s="14" t="s">
        <v>4</v>
      </c>
      <c r="D9" s="18">
        <f t="shared" si="0"/>
        <v>1</v>
      </c>
      <c r="F9" s="36">
        <f t="shared" si="1"/>
        <v>0.91372580550408333</v>
      </c>
      <c r="G9" s="29">
        <f t="shared" si="2"/>
        <v>7.443236635919258E-3</v>
      </c>
      <c r="K9" s="20">
        <v>57</v>
      </c>
      <c r="M9" s="67">
        <f t="shared" si="3"/>
        <v>-8.6274194495916667E-2</v>
      </c>
    </row>
    <row r="10" spans="2:13" ht="20.5" customHeight="1" thickBot="1" x14ac:dyDescent="0.25">
      <c r="B10" s="13">
        <v>5.2</v>
      </c>
      <c r="C10" s="14" t="s">
        <v>5</v>
      </c>
      <c r="D10" s="18">
        <f t="shared" si="0"/>
        <v>0</v>
      </c>
      <c r="F10" s="36">
        <f t="shared" si="1"/>
        <v>0.7525017852138598</v>
      </c>
      <c r="G10" s="29">
        <f t="shared" si="2"/>
        <v>0.56625893675004602</v>
      </c>
      <c r="K10" s="21">
        <v>39</v>
      </c>
      <c r="M10" s="67">
        <f t="shared" si="3"/>
        <v>0.7525017852138598</v>
      </c>
    </row>
    <row r="11" spans="2:13" ht="20.5" customHeight="1" x14ac:dyDescent="0.2">
      <c r="B11" s="13">
        <v>8</v>
      </c>
      <c r="C11" s="14" t="s">
        <v>4</v>
      </c>
      <c r="D11" s="18">
        <f t="shared" si="0"/>
        <v>1</v>
      </c>
      <c r="F11" s="36">
        <f t="shared" si="1"/>
        <v>0.9958479814363993</v>
      </c>
      <c r="G11" s="29">
        <f t="shared" si="2"/>
        <v>1.7239258152484831E-5</v>
      </c>
      <c r="M11" s="67">
        <f t="shared" si="3"/>
        <v>-4.1520185636007012E-3</v>
      </c>
    </row>
    <row r="12" spans="2:13" ht="20.5" customHeight="1" x14ac:dyDescent="0.2">
      <c r="B12" s="13">
        <v>9</v>
      </c>
      <c r="C12" s="14" t="s">
        <v>4</v>
      </c>
      <c r="D12" s="18">
        <f t="shared" si="0"/>
        <v>1</v>
      </c>
      <c r="F12" s="36">
        <f t="shared" si="1"/>
        <v>0.99912464036357063</v>
      </c>
      <c r="G12" s="29">
        <f t="shared" si="2"/>
        <v>7.6625449308976523E-7</v>
      </c>
      <c r="M12" s="67">
        <f t="shared" si="3"/>
        <v>-8.7535963642937364E-4</v>
      </c>
    </row>
    <row r="13" spans="2:13" ht="20.5" customHeight="1" x14ac:dyDescent="0.2">
      <c r="B13" s="13">
        <v>10</v>
      </c>
      <c r="C13" s="14" t="s">
        <v>4</v>
      </c>
      <c r="D13" s="18">
        <f t="shared" si="0"/>
        <v>1</v>
      </c>
      <c r="F13" s="36">
        <f t="shared" si="1"/>
        <v>0.99981592809503661</v>
      </c>
      <c r="G13" s="29">
        <f t="shared" si="2"/>
        <v>3.3882466196851233E-8</v>
      </c>
      <c r="M13" s="67">
        <f t="shared" si="3"/>
        <v>-1.8407190496338988E-4</v>
      </c>
    </row>
    <row r="14" spans="2:13" ht="20.5" customHeight="1" x14ac:dyDescent="0.2">
      <c r="B14" s="13">
        <v>11</v>
      </c>
      <c r="C14" s="14" t="s">
        <v>4</v>
      </c>
      <c r="D14" s="18">
        <f t="shared" si="0"/>
        <v>1</v>
      </c>
      <c r="F14" s="36">
        <f t="shared" si="1"/>
        <v>0.99996131422848022</v>
      </c>
      <c r="G14" s="29">
        <f t="shared" si="2"/>
        <v>1.4965889180802545E-9</v>
      </c>
      <c r="M14" s="67">
        <f t="shared" si="3"/>
        <v>-3.8685771519775258E-5</v>
      </c>
    </row>
    <row r="15" spans="2:13" ht="20.5" customHeight="1" x14ac:dyDescent="0.2">
      <c r="B15" s="13">
        <v>12</v>
      </c>
      <c r="C15" s="14" t="s">
        <v>4</v>
      </c>
      <c r="D15" s="18">
        <f t="shared" si="0"/>
        <v>1</v>
      </c>
      <c r="F15" s="36">
        <f t="shared" si="1"/>
        <v>0.9999918704755516</v>
      </c>
      <c r="G15" s="29">
        <f t="shared" si="2"/>
        <v>6.6089167757084312E-11</v>
      </c>
      <c r="M15" s="67">
        <f t="shared" si="3"/>
        <v>-8.1295244483969853E-6</v>
      </c>
    </row>
    <row r="16" spans="2:13" ht="20.5" customHeight="1" thickBot="1" x14ac:dyDescent="0.25">
      <c r="B16" s="15">
        <v>13</v>
      </c>
      <c r="C16" s="16" t="s">
        <v>4</v>
      </c>
      <c r="D16" s="19">
        <f t="shared" si="0"/>
        <v>1</v>
      </c>
      <c r="F16" s="36">
        <f t="shared" si="1"/>
        <v>0.99999829168270216</v>
      </c>
      <c r="G16" s="29">
        <f t="shared" si="2"/>
        <v>2.9183479901124105E-12</v>
      </c>
      <c r="M16" s="67">
        <f t="shared" si="3"/>
        <v>-1.7083172978438199E-6</v>
      </c>
    </row>
    <row r="17" spans="1:13" ht="16" x14ac:dyDescent="0.2">
      <c r="M17" s="67">
        <f t="shared" si="3"/>
        <v>0</v>
      </c>
    </row>
    <row r="18" spans="1:13" ht="20" thickBot="1" x14ac:dyDescent="0.3">
      <c r="G18" s="27">
        <f>SUM(G4:G16)</f>
        <v>0.82836778483601092</v>
      </c>
    </row>
    <row r="20" spans="1:13" ht="21" customHeight="1" x14ac:dyDescent="0.2"/>
    <row r="21" spans="1:13" ht="197.25" customHeight="1" x14ac:dyDescent="0.2"/>
    <row r="25" spans="1:13" x14ac:dyDescent="0.2">
      <c r="A25" t="s">
        <v>0</v>
      </c>
      <c r="B25">
        <v>0.5</v>
      </c>
    </row>
    <row r="27" spans="1:13" x14ac:dyDescent="0.2">
      <c r="B27" s="9" t="s">
        <v>6</v>
      </c>
      <c r="C27" s="9" t="s">
        <v>7</v>
      </c>
      <c r="D27" s="9" t="s">
        <v>10</v>
      </c>
    </row>
    <row r="28" spans="1:13" x14ac:dyDescent="0.2">
      <c r="B28" s="26">
        <v>-2</v>
      </c>
      <c r="C28" s="7">
        <f>Sigmoid(B28)</f>
        <v>0.11920292202211755</v>
      </c>
      <c r="D28" s="46">
        <f t="shared" ref="D28:D59" si="4">Sigmoid($I$2*B28+$H$2)</f>
        <v>4.0264504236289244E-5</v>
      </c>
      <c r="F28" s="45">
        <f>1/(1+EXP(-(B28*$I$2+$H$2)))</f>
        <v>4.0264504236289244E-5</v>
      </c>
    </row>
    <row r="29" spans="1:13" x14ac:dyDescent="0.2">
      <c r="B29" s="2">
        <f>B28+$B$25</f>
        <v>-1.5</v>
      </c>
      <c r="C29" s="7">
        <f>Sigmoid(B29)</f>
        <v>0.18242552380635635</v>
      </c>
      <c r="D29" s="46">
        <f t="shared" si="4"/>
        <v>8.7831720998003346E-5</v>
      </c>
      <c r="F29" s="45">
        <f t="shared" ref="F29:F78" si="5">1/(1+EXP(-(B29*$I$2+$H$2)))</f>
        <v>8.7831720998003346E-5</v>
      </c>
    </row>
    <row r="30" spans="1:13" x14ac:dyDescent="0.2">
      <c r="B30" s="2">
        <f t="shared" ref="B30:B78" si="6">B29+$B$25</f>
        <v>-1</v>
      </c>
      <c r="C30" s="7">
        <f t="shared" ref="C30:C78" si="7">Sigmoid(B30)</f>
        <v>0.2689414213699951</v>
      </c>
      <c r="D30" s="46">
        <f t="shared" si="4"/>
        <v>1.9158258272128215E-4</v>
      </c>
      <c r="F30" s="45">
        <f t="shared" si="5"/>
        <v>1.9158258272128215E-4</v>
      </c>
    </row>
    <row r="31" spans="1:13" x14ac:dyDescent="0.2">
      <c r="B31" s="2">
        <f t="shared" si="6"/>
        <v>-0.5</v>
      </c>
      <c r="C31" s="7">
        <f t="shared" si="7"/>
        <v>0.37754066879814541</v>
      </c>
      <c r="D31" s="46">
        <f t="shared" si="4"/>
        <v>4.1783751344338444E-4</v>
      </c>
      <c r="F31" s="45">
        <f t="shared" si="5"/>
        <v>4.1783751344338444E-4</v>
      </c>
    </row>
    <row r="32" spans="1:13" x14ac:dyDescent="0.2">
      <c r="B32" s="2">
        <f t="shared" si="6"/>
        <v>0</v>
      </c>
      <c r="C32" s="7">
        <f t="shared" si="7"/>
        <v>0.5</v>
      </c>
      <c r="D32" s="46">
        <f t="shared" si="4"/>
        <v>9.1105119440064539E-4</v>
      </c>
      <c r="F32" s="45">
        <f t="shared" si="5"/>
        <v>9.1105119440064539E-4</v>
      </c>
    </row>
    <row r="33" spans="2:6" x14ac:dyDescent="0.2">
      <c r="B33" s="2">
        <f t="shared" si="6"/>
        <v>0.5</v>
      </c>
      <c r="C33" s="7">
        <f t="shared" si="7"/>
        <v>0.62245933120185459</v>
      </c>
      <c r="D33" s="46">
        <f t="shared" si="4"/>
        <v>1.9852959767385804E-3</v>
      </c>
      <c r="F33" s="45">
        <f t="shared" si="5"/>
        <v>1.9852959767385804E-3</v>
      </c>
    </row>
    <row r="34" spans="2:6" x14ac:dyDescent="0.2">
      <c r="B34" s="2">
        <f t="shared" si="6"/>
        <v>1</v>
      </c>
      <c r="C34" s="7">
        <f t="shared" si="7"/>
        <v>0.7310585786300049</v>
      </c>
      <c r="D34" s="46">
        <f t="shared" si="4"/>
        <v>4.3207335199119202E-3</v>
      </c>
      <c r="F34" s="45">
        <f t="shared" si="5"/>
        <v>4.3207335199119202E-3</v>
      </c>
    </row>
    <row r="35" spans="2:6" x14ac:dyDescent="0.2">
      <c r="B35" s="2">
        <f t="shared" si="6"/>
        <v>1.5</v>
      </c>
      <c r="C35" s="7">
        <f t="shared" si="7"/>
        <v>0.81757447619364365</v>
      </c>
      <c r="D35" s="46">
        <f t="shared" si="4"/>
        <v>9.3776888626768556E-3</v>
      </c>
      <c r="F35" s="45">
        <f t="shared" si="5"/>
        <v>9.3776888626768556E-3</v>
      </c>
    </row>
    <row r="36" spans="2:6" x14ac:dyDescent="0.2">
      <c r="B36" s="2">
        <f t="shared" si="6"/>
        <v>2</v>
      </c>
      <c r="C36" s="7">
        <f t="shared" si="7"/>
        <v>0.88079707797788243</v>
      </c>
      <c r="D36" s="46">
        <f t="shared" si="4"/>
        <v>2.0232997095785403E-2</v>
      </c>
      <c r="F36" s="45">
        <f t="shared" si="5"/>
        <v>2.0232997095785403E-2</v>
      </c>
    </row>
    <row r="37" spans="2:6" x14ac:dyDescent="0.2">
      <c r="B37" s="2">
        <f t="shared" si="6"/>
        <v>2.5</v>
      </c>
      <c r="C37" s="7">
        <f t="shared" si="7"/>
        <v>0.92414181997875644</v>
      </c>
      <c r="D37" s="46">
        <f t="shared" si="4"/>
        <v>4.3107254941086137E-2</v>
      </c>
      <c r="F37" s="45">
        <f t="shared" si="5"/>
        <v>4.3107254941086137E-2</v>
      </c>
    </row>
    <row r="38" spans="2:6" x14ac:dyDescent="0.2">
      <c r="B38" s="2">
        <f t="shared" si="6"/>
        <v>3</v>
      </c>
      <c r="C38" s="7">
        <f t="shared" si="7"/>
        <v>0.95257412682243325</v>
      </c>
      <c r="D38" s="46">
        <f t="shared" si="4"/>
        <v>8.9480059333561401E-2</v>
      </c>
      <c r="F38" s="45">
        <f t="shared" si="5"/>
        <v>8.9480059333561401E-2</v>
      </c>
    </row>
    <row r="39" spans="2:6" x14ac:dyDescent="0.2">
      <c r="B39" s="2">
        <f t="shared" si="6"/>
        <v>3.5</v>
      </c>
      <c r="C39" s="7">
        <f t="shared" si="7"/>
        <v>0.97068776924864364</v>
      </c>
      <c r="D39" s="46">
        <f t="shared" si="4"/>
        <v>0.17653527477911671</v>
      </c>
      <c r="F39" s="45">
        <f t="shared" si="5"/>
        <v>0.17653527477911671</v>
      </c>
    </row>
    <row r="40" spans="2:6" x14ac:dyDescent="0.2">
      <c r="B40" s="2">
        <f t="shared" si="6"/>
        <v>4</v>
      </c>
      <c r="C40" s="7">
        <f t="shared" si="7"/>
        <v>0.98201379003790845</v>
      </c>
      <c r="D40" s="46">
        <f t="shared" si="4"/>
        <v>0.31864626621097453</v>
      </c>
      <c r="F40" s="45">
        <f t="shared" si="5"/>
        <v>0.31864626621097453</v>
      </c>
    </row>
    <row r="41" spans="2:6" x14ac:dyDescent="0.2">
      <c r="B41" s="2">
        <f t="shared" si="6"/>
        <v>4.5</v>
      </c>
      <c r="C41" s="7">
        <f t="shared" si="7"/>
        <v>0.98901305736940681</v>
      </c>
      <c r="D41" s="46">
        <f t="shared" si="4"/>
        <v>0.50499983333999987</v>
      </c>
      <c r="F41" s="45">
        <f t="shared" si="5"/>
        <v>0.50499983333999987</v>
      </c>
    </row>
    <row r="42" spans="2:6" x14ac:dyDescent="0.2">
      <c r="B42" s="2">
        <f t="shared" si="6"/>
        <v>5</v>
      </c>
      <c r="C42" s="7">
        <f t="shared" si="7"/>
        <v>0.99330714907571516</v>
      </c>
      <c r="D42" s="46">
        <f t="shared" si="4"/>
        <v>0.68997448112761262</v>
      </c>
      <c r="F42" s="45">
        <f t="shared" si="5"/>
        <v>0.68997448112761262</v>
      </c>
    </row>
    <row r="43" spans="2:6" x14ac:dyDescent="0.2">
      <c r="B43" s="2">
        <f t="shared" si="6"/>
        <v>5.5</v>
      </c>
      <c r="C43" s="7">
        <f t="shared" si="7"/>
        <v>0.99592986228410385</v>
      </c>
      <c r="D43" s="46">
        <f t="shared" si="4"/>
        <v>0.82920451797762551</v>
      </c>
      <c r="F43" s="45">
        <f t="shared" si="5"/>
        <v>0.82920451797762562</v>
      </c>
    </row>
    <row r="44" spans="2:6" x14ac:dyDescent="0.2">
      <c r="B44" s="2">
        <f t="shared" si="6"/>
        <v>6</v>
      </c>
      <c r="C44" s="7">
        <f t="shared" si="7"/>
        <v>0.99752737684336523</v>
      </c>
      <c r="D44" s="46">
        <f t="shared" si="4"/>
        <v>0.91372580550408322</v>
      </c>
      <c r="F44" s="45">
        <f t="shared" si="5"/>
        <v>0.91372580550408333</v>
      </c>
    </row>
    <row r="45" spans="2:6" x14ac:dyDescent="0.2">
      <c r="B45" s="2">
        <f t="shared" si="6"/>
        <v>6.5</v>
      </c>
      <c r="C45" s="7">
        <f t="shared" si="7"/>
        <v>0.99849881774326299</v>
      </c>
      <c r="D45" s="46">
        <f t="shared" si="4"/>
        <v>0.9585128806983042</v>
      </c>
      <c r="F45" s="45">
        <f t="shared" si="5"/>
        <v>0.9585128806983042</v>
      </c>
    </row>
    <row r="46" spans="2:6" x14ac:dyDescent="0.2">
      <c r="B46" s="2">
        <f t="shared" si="6"/>
        <v>7</v>
      </c>
      <c r="C46" s="7">
        <f t="shared" si="7"/>
        <v>0.9990889488055994</v>
      </c>
      <c r="D46" s="46">
        <f t="shared" si="4"/>
        <v>0.980544915431807</v>
      </c>
      <c r="F46" s="45">
        <f t="shared" si="5"/>
        <v>0.98054491543180688</v>
      </c>
    </row>
    <row r="47" spans="2:6" x14ac:dyDescent="0.2">
      <c r="B47" s="2">
        <f t="shared" si="6"/>
        <v>7.5</v>
      </c>
      <c r="C47" s="7">
        <f t="shared" si="7"/>
        <v>0.9994472213630764</v>
      </c>
      <c r="D47" s="46">
        <f t="shared" si="4"/>
        <v>0.99098670134715217</v>
      </c>
      <c r="F47" s="45">
        <f t="shared" si="5"/>
        <v>0.99098670134715205</v>
      </c>
    </row>
    <row r="48" spans="2:6" x14ac:dyDescent="0.2">
      <c r="B48" s="2">
        <f t="shared" si="6"/>
        <v>8</v>
      </c>
      <c r="C48" s="7">
        <f t="shared" si="7"/>
        <v>0.99966464986953352</v>
      </c>
      <c r="D48" s="46">
        <f t="shared" si="4"/>
        <v>0.99584798143639941</v>
      </c>
      <c r="F48" s="45">
        <f t="shared" si="5"/>
        <v>0.9958479814363993</v>
      </c>
    </row>
    <row r="49" spans="2:6" x14ac:dyDescent="0.2">
      <c r="B49" s="2">
        <f t="shared" si="6"/>
        <v>8.5</v>
      </c>
      <c r="C49" s="7">
        <f t="shared" si="7"/>
        <v>0.9997965730219448</v>
      </c>
      <c r="D49" s="46">
        <f t="shared" si="4"/>
        <v>0.99809240009566613</v>
      </c>
      <c r="F49" s="45">
        <f t="shared" si="5"/>
        <v>0.99809240009566624</v>
      </c>
    </row>
    <row r="50" spans="2:6" x14ac:dyDescent="0.2">
      <c r="B50" s="2">
        <f t="shared" si="6"/>
        <v>9</v>
      </c>
      <c r="C50" s="7">
        <f t="shared" si="7"/>
        <v>0.9998766054240138</v>
      </c>
      <c r="D50" s="46">
        <f t="shared" si="4"/>
        <v>0.99912464036357074</v>
      </c>
      <c r="F50" s="45">
        <f t="shared" si="5"/>
        <v>0.99912464036357063</v>
      </c>
    </row>
    <row r="51" spans="2:6" x14ac:dyDescent="0.2">
      <c r="B51" s="2">
        <f t="shared" si="6"/>
        <v>9.5</v>
      </c>
      <c r="C51" s="7">
        <f t="shared" si="7"/>
        <v>0.99992515377248936</v>
      </c>
      <c r="D51" s="46">
        <f t="shared" si="4"/>
        <v>0.99959853955241718</v>
      </c>
      <c r="F51" s="45">
        <f t="shared" si="5"/>
        <v>0.99959853955241718</v>
      </c>
    </row>
    <row r="52" spans="2:6" x14ac:dyDescent="0.2">
      <c r="B52" s="2">
        <f t="shared" si="6"/>
        <v>10</v>
      </c>
      <c r="C52" s="7">
        <f t="shared" si="7"/>
        <v>0.99995460213129761</v>
      </c>
      <c r="D52" s="46">
        <f t="shared" si="4"/>
        <v>0.99981592809503661</v>
      </c>
      <c r="F52" s="45">
        <f t="shared" si="5"/>
        <v>0.99981592809503661</v>
      </c>
    </row>
    <row r="53" spans="2:6" x14ac:dyDescent="0.2">
      <c r="B53" s="2">
        <f t="shared" si="6"/>
        <v>10.5</v>
      </c>
      <c r="C53" s="7">
        <f t="shared" si="7"/>
        <v>0.99997246430888542</v>
      </c>
      <c r="D53" s="46">
        <f t="shared" si="4"/>
        <v>0.9999156119194158</v>
      </c>
      <c r="F53" s="45">
        <f t="shared" si="5"/>
        <v>0.9999156119194158</v>
      </c>
    </row>
    <row r="54" spans="2:6" x14ac:dyDescent="0.2">
      <c r="B54" s="2">
        <f t="shared" si="6"/>
        <v>11</v>
      </c>
      <c r="C54" s="7">
        <f t="shared" si="7"/>
        <v>0.99998329857815194</v>
      </c>
      <c r="D54" s="46">
        <f t="shared" si="4"/>
        <v>0.99996131422848022</v>
      </c>
      <c r="F54" s="45">
        <f t="shared" si="5"/>
        <v>0.99996131422848022</v>
      </c>
    </row>
    <row r="55" spans="2:6" x14ac:dyDescent="0.2">
      <c r="B55" s="2">
        <f t="shared" si="6"/>
        <v>11.5</v>
      </c>
      <c r="C55" s="7">
        <f t="shared" si="7"/>
        <v>0.99998987000901918</v>
      </c>
      <c r="D55" s="46">
        <f t="shared" si="4"/>
        <v>0.99998226583821748</v>
      </c>
      <c r="F55" s="45">
        <f t="shared" si="5"/>
        <v>0.99998226583821748</v>
      </c>
    </row>
    <row r="56" spans="2:6" x14ac:dyDescent="0.2">
      <c r="B56" s="2">
        <f t="shared" si="6"/>
        <v>12</v>
      </c>
      <c r="C56" s="7">
        <f t="shared" si="7"/>
        <v>0.99999385582539779</v>
      </c>
      <c r="D56" s="46">
        <f t="shared" si="4"/>
        <v>0.99999187047555171</v>
      </c>
      <c r="F56" s="45">
        <f t="shared" si="5"/>
        <v>0.9999918704755516</v>
      </c>
    </row>
    <row r="57" spans="2:6" x14ac:dyDescent="0.2">
      <c r="B57" s="2">
        <f t="shared" si="6"/>
        <v>12.5</v>
      </c>
      <c r="C57" s="7">
        <f t="shared" si="7"/>
        <v>0.99999627336071584</v>
      </c>
      <c r="D57" s="46">
        <f t="shared" si="4"/>
        <v>0.99999627336071584</v>
      </c>
      <c r="F57" s="45">
        <f t="shared" si="5"/>
        <v>0.99999627336071584</v>
      </c>
    </row>
    <row r="58" spans="2:6" x14ac:dyDescent="0.2">
      <c r="B58" s="2">
        <f t="shared" si="6"/>
        <v>13</v>
      </c>
      <c r="C58" s="7">
        <f t="shared" si="7"/>
        <v>0.99999773967570205</v>
      </c>
      <c r="D58" s="46">
        <f t="shared" si="4"/>
        <v>0.99999829168270227</v>
      </c>
      <c r="F58" s="45">
        <f t="shared" si="5"/>
        <v>0.99999829168270216</v>
      </c>
    </row>
    <row r="59" spans="2:6" x14ac:dyDescent="0.2">
      <c r="B59" s="2">
        <f t="shared" si="6"/>
        <v>13.5</v>
      </c>
      <c r="C59" s="7">
        <f t="shared" si="7"/>
        <v>0.99999862904279313</v>
      </c>
      <c r="D59" s="46">
        <f t="shared" si="4"/>
        <v>0.99999921689635696</v>
      </c>
      <c r="F59" s="45">
        <f t="shared" si="5"/>
        <v>0.99999921689635696</v>
      </c>
    </row>
    <row r="60" spans="2:6" x14ac:dyDescent="0.2">
      <c r="B60" s="2">
        <f t="shared" si="6"/>
        <v>14</v>
      </c>
      <c r="C60" s="7">
        <f t="shared" si="7"/>
        <v>0.99999916847197234</v>
      </c>
      <c r="D60" s="46">
        <f t="shared" ref="D60:D78" si="8">Sigmoid($I$2*B60+$H$2)</f>
        <v>0.99999964102043026</v>
      </c>
      <c r="F60" s="45">
        <f t="shared" si="5"/>
        <v>0.99999964102043026</v>
      </c>
    </row>
    <row r="61" spans="2:6" x14ac:dyDescent="0.2">
      <c r="B61" s="2">
        <f t="shared" si="6"/>
        <v>14.5</v>
      </c>
      <c r="C61" s="7">
        <f t="shared" si="7"/>
        <v>0.99999949565259183</v>
      </c>
      <c r="D61" s="46">
        <f t="shared" si="8"/>
        <v>0.99999983544157534</v>
      </c>
      <c r="F61" s="45">
        <f t="shared" si="5"/>
        <v>0.99999983544157534</v>
      </c>
    </row>
    <row r="62" spans="2:6" x14ac:dyDescent="0.2">
      <c r="B62" s="2">
        <f t="shared" si="6"/>
        <v>15</v>
      </c>
      <c r="C62" s="7">
        <f t="shared" si="7"/>
        <v>0.99999969409777312</v>
      </c>
      <c r="D62" s="46">
        <f t="shared" si="8"/>
        <v>0.99999992456542219</v>
      </c>
      <c r="F62" s="45">
        <f t="shared" si="5"/>
        <v>0.99999992456542219</v>
      </c>
    </row>
    <row r="63" spans="2:6" x14ac:dyDescent="0.2">
      <c r="B63" s="2">
        <f t="shared" si="6"/>
        <v>15.5</v>
      </c>
      <c r="C63" s="7">
        <f t="shared" si="7"/>
        <v>0.99999981446089814</v>
      </c>
      <c r="D63" s="46">
        <f t="shared" si="8"/>
        <v>0.99999996542033465</v>
      </c>
      <c r="F63" s="45">
        <f t="shared" si="5"/>
        <v>0.99999996542033476</v>
      </c>
    </row>
    <row r="64" spans="2:6" x14ac:dyDescent="0.2">
      <c r="B64" s="2">
        <f t="shared" si="6"/>
        <v>16</v>
      </c>
      <c r="C64" s="7">
        <f t="shared" si="7"/>
        <v>0.99999988746483792</v>
      </c>
      <c r="D64" s="46">
        <f t="shared" si="8"/>
        <v>0.99999998414847324</v>
      </c>
      <c r="F64" s="45">
        <f t="shared" si="5"/>
        <v>0.99999998414847324</v>
      </c>
    </row>
    <row r="65" spans="2:6" x14ac:dyDescent="0.2">
      <c r="B65" s="2">
        <f t="shared" si="6"/>
        <v>16.5</v>
      </c>
      <c r="C65" s="7">
        <f t="shared" si="7"/>
        <v>0.99999993174397095</v>
      </c>
      <c r="D65" s="46">
        <f t="shared" si="8"/>
        <v>0.99999999273356477</v>
      </c>
      <c r="F65" s="45">
        <f t="shared" si="5"/>
        <v>0.99999999273356477</v>
      </c>
    </row>
    <row r="66" spans="2:6" x14ac:dyDescent="0.2">
      <c r="B66" s="2">
        <f t="shared" si="6"/>
        <v>17</v>
      </c>
      <c r="C66" s="7">
        <f t="shared" si="7"/>
        <v>0.99999995860062452</v>
      </c>
      <c r="D66" s="46">
        <f t="shared" si="8"/>
        <v>0.9999999966690224</v>
      </c>
      <c r="F66" s="45">
        <f t="shared" si="5"/>
        <v>0.99999999666902228</v>
      </c>
    </row>
    <row r="67" spans="2:6" x14ac:dyDescent="0.2">
      <c r="B67" s="2">
        <f t="shared" si="6"/>
        <v>17.5</v>
      </c>
      <c r="C67" s="7">
        <f t="shared" si="7"/>
        <v>0.99999997489000902</v>
      </c>
      <c r="D67" s="46">
        <f t="shared" si="8"/>
        <v>0.99999999847305987</v>
      </c>
      <c r="F67" s="45">
        <f t="shared" si="5"/>
        <v>0.99999999847305987</v>
      </c>
    </row>
    <row r="68" spans="2:6" x14ac:dyDescent="0.2">
      <c r="B68" s="2">
        <f t="shared" si="6"/>
        <v>18</v>
      </c>
      <c r="C68" s="7">
        <f t="shared" si="7"/>
        <v>0.9999999847700205</v>
      </c>
      <c r="D68" s="46">
        <f t="shared" si="8"/>
        <v>0.99999999930004146</v>
      </c>
      <c r="F68" s="45">
        <f t="shared" si="5"/>
        <v>0.99999999930004146</v>
      </c>
    </row>
    <row r="69" spans="2:6" x14ac:dyDescent="0.2">
      <c r="B69" s="2">
        <f t="shared" si="6"/>
        <v>18.5</v>
      </c>
      <c r="C69" s="7">
        <f t="shared" si="7"/>
        <v>0.99999999076255042</v>
      </c>
      <c r="D69" s="46">
        <f t="shared" si="8"/>
        <v>0.99999999967913478</v>
      </c>
      <c r="F69" s="45">
        <f t="shared" si="5"/>
        <v>0.99999999967913489</v>
      </c>
    </row>
    <row r="70" spans="2:6" x14ac:dyDescent="0.2">
      <c r="B70" s="2">
        <f t="shared" si="6"/>
        <v>19</v>
      </c>
      <c r="C70" s="7">
        <f t="shared" si="7"/>
        <v>0.99999999439720355</v>
      </c>
      <c r="D70" s="46">
        <f t="shared" si="8"/>
        <v>0.99999999985291343</v>
      </c>
      <c r="F70" s="45">
        <f t="shared" si="5"/>
        <v>0.99999999985291343</v>
      </c>
    </row>
    <row r="71" spans="2:6" x14ac:dyDescent="0.2">
      <c r="B71" s="2">
        <f t="shared" si="6"/>
        <v>19.5</v>
      </c>
      <c r="C71" s="7">
        <f t="shared" si="7"/>
        <v>0.99999999660173222</v>
      </c>
      <c r="D71" s="46">
        <f t="shared" si="8"/>
        <v>0.9999999999325746</v>
      </c>
      <c r="F71" s="45">
        <f t="shared" si="5"/>
        <v>0.9999999999325746</v>
      </c>
    </row>
    <row r="72" spans="2:6" x14ac:dyDescent="0.2">
      <c r="B72" s="2">
        <f t="shared" si="6"/>
        <v>20</v>
      </c>
      <c r="C72" s="7">
        <f t="shared" si="7"/>
        <v>0.99999999793884642</v>
      </c>
      <c r="D72" s="46">
        <f t="shared" si="8"/>
        <v>0.99999999996909184</v>
      </c>
      <c r="F72" s="45">
        <f t="shared" si="5"/>
        <v>0.99999999996909184</v>
      </c>
    </row>
    <row r="73" spans="2:6" x14ac:dyDescent="0.2">
      <c r="B73" s="2">
        <f t="shared" si="6"/>
        <v>20.5</v>
      </c>
      <c r="C73" s="7">
        <f t="shared" si="7"/>
        <v>0.99999999874984713</v>
      </c>
      <c r="D73" s="46">
        <f t="shared" si="8"/>
        <v>0.99999999998583156</v>
      </c>
      <c r="F73" s="45">
        <f t="shared" si="5"/>
        <v>0.99999999998583156</v>
      </c>
    </row>
    <row r="74" spans="2:6" x14ac:dyDescent="0.2">
      <c r="B74" s="2">
        <f t="shared" si="6"/>
        <v>21</v>
      </c>
      <c r="C74" s="7">
        <f t="shared" si="7"/>
        <v>0.99999999924174399</v>
      </c>
      <c r="D74" s="46">
        <f t="shared" si="8"/>
        <v>0.99999999999350508</v>
      </c>
      <c r="F74" s="45">
        <f t="shared" si="5"/>
        <v>0.99999999999350497</v>
      </c>
    </row>
    <row r="75" spans="2:6" x14ac:dyDescent="0.2">
      <c r="B75" s="2">
        <f t="shared" si="6"/>
        <v>21.5</v>
      </c>
      <c r="C75" s="7">
        <f t="shared" si="7"/>
        <v>0.99999999954009444</v>
      </c>
      <c r="D75" s="46">
        <f t="shared" si="8"/>
        <v>0.99999999999702271</v>
      </c>
      <c r="F75" s="45">
        <f t="shared" si="5"/>
        <v>0.9999999999970226</v>
      </c>
    </row>
    <row r="76" spans="2:6" x14ac:dyDescent="0.2">
      <c r="B76" s="2">
        <f t="shared" si="6"/>
        <v>22</v>
      </c>
      <c r="C76" s="7">
        <f t="shared" si="7"/>
        <v>0.99999999972105325</v>
      </c>
      <c r="D76" s="46">
        <f t="shared" si="8"/>
        <v>0.9999999999986352</v>
      </c>
      <c r="F76" s="45">
        <f t="shared" si="5"/>
        <v>0.99999999999863509</v>
      </c>
    </row>
    <row r="77" spans="2:6" x14ac:dyDescent="0.2">
      <c r="B77" s="2">
        <f t="shared" si="6"/>
        <v>22.5</v>
      </c>
      <c r="C77" s="7">
        <f t="shared" si="7"/>
        <v>0.99999999983081023</v>
      </c>
      <c r="D77" s="46">
        <f t="shared" si="8"/>
        <v>0.99999999999937439</v>
      </c>
      <c r="F77" s="45">
        <f t="shared" si="5"/>
        <v>0.99999999999937428</v>
      </c>
    </row>
    <row r="78" spans="2:6" x14ac:dyDescent="0.2">
      <c r="B78" s="2">
        <f t="shared" si="6"/>
        <v>23</v>
      </c>
      <c r="C78" s="7">
        <f t="shared" si="7"/>
        <v>0.9999999998973812</v>
      </c>
      <c r="D78" s="46">
        <f t="shared" si="8"/>
        <v>0.99999999999971323</v>
      </c>
      <c r="F78" s="45">
        <f t="shared" si="5"/>
        <v>0.99999999999971312</v>
      </c>
    </row>
  </sheetData>
  <conditionalFormatting sqref="C4:C16">
    <cfRule type="cellIs" dxfId="15" priority="8" operator="equal">
      <formula>"Yes"</formula>
    </cfRule>
    <cfRule type="cellIs" dxfId="14" priority="9" operator="equal">
      <formula>"No"</formula>
    </cfRule>
  </conditionalFormatting>
  <conditionalFormatting sqref="D4:D16">
    <cfRule type="cellIs" dxfId="13" priority="6" operator="equal">
      <formula>1</formula>
    </cfRule>
    <cfRule type="cellIs" dxfId="12" priority="7" operator="equal">
      <formula>0</formula>
    </cfRule>
  </conditionalFormatting>
  <conditionalFormatting sqref="F4:F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4:G1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{E26CCB5C-9852-4087-899B-E6E60E212C36}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Scroll Bar 1">
              <controlPr defaultSize="0" autoPict="0">
                <anchor moveWithCells="1">
                  <from>
                    <xdr:col>7</xdr:col>
                    <xdr:colOff>139700</xdr:colOff>
                    <xdr:row>2</xdr:row>
                    <xdr:rowOff>203200</xdr:rowOff>
                  </from>
                  <to>
                    <xdr:col>7</xdr:col>
                    <xdr:colOff>482600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Scroll Bar 2">
              <controlPr defaultSize="0" autoPict="0">
                <anchor moveWithCells="1">
                  <from>
                    <xdr:col>8</xdr:col>
                    <xdr:colOff>101600</xdr:colOff>
                    <xdr:row>2</xdr:row>
                    <xdr:rowOff>215900</xdr:rowOff>
                  </from>
                  <to>
                    <xdr:col>8</xdr:col>
                    <xdr:colOff>444500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26CCB5C-9852-4087-899B-E6E60E212C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G4:G16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AQ95"/>
  <sheetViews>
    <sheetView showGridLines="0" zoomScale="39" zoomScaleNormal="70" workbookViewId="0">
      <selection activeCell="AK15" sqref="AK15"/>
    </sheetView>
  </sheetViews>
  <sheetFormatPr baseColWidth="10" defaultColWidth="8.83203125" defaultRowHeight="15" x14ac:dyDescent="0.2"/>
  <cols>
    <col min="2" max="3" width="13.6640625" customWidth="1"/>
    <col min="4" max="4" width="17.1640625" customWidth="1"/>
    <col min="5" max="5" width="5.33203125" customWidth="1"/>
    <col min="6" max="6" width="11.6640625" customWidth="1"/>
    <col min="7" max="7" width="12" bestFit="1" customWidth="1"/>
    <col min="15" max="15" width="8.33203125" customWidth="1"/>
    <col min="16" max="43" width="6" customWidth="1"/>
    <col min="44" max="44" width="5.5" customWidth="1"/>
  </cols>
  <sheetData>
    <row r="1" spans="2:11" ht="21" x14ac:dyDescent="0.25">
      <c r="H1" s="30" t="s">
        <v>8</v>
      </c>
      <c r="I1" s="31" t="s">
        <v>9</v>
      </c>
    </row>
    <row r="2" spans="2:11" ht="22" thickBot="1" x14ac:dyDescent="0.25">
      <c r="H2" s="24">
        <f>(50-K9)/1</f>
        <v>-7</v>
      </c>
      <c r="I2" s="25">
        <f>K10/25</f>
        <v>1.52</v>
      </c>
    </row>
    <row r="3" spans="2:11" ht="33" thickBot="1" x14ac:dyDescent="0.25">
      <c r="B3" s="4" t="s">
        <v>3</v>
      </c>
      <c r="C3" s="5" t="s">
        <v>2</v>
      </c>
      <c r="D3" s="6" t="s">
        <v>2</v>
      </c>
      <c r="F3" s="10" t="s">
        <v>1</v>
      </c>
      <c r="G3" s="10" t="s">
        <v>11</v>
      </c>
    </row>
    <row r="4" spans="2:11" ht="20.5" customHeight="1" x14ac:dyDescent="0.2">
      <c r="B4" s="11">
        <v>1</v>
      </c>
      <c r="C4" s="12" t="s">
        <v>5</v>
      </c>
      <c r="D4" s="17">
        <f>IF(C4="No",0,1)</f>
        <v>0</v>
      </c>
      <c r="F4" s="28">
        <f t="shared" ref="F4:F16" si="0">Sigmoid($I$2*B4+$H$2)</f>
        <v>4.1520185636006431E-3</v>
      </c>
      <c r="G4" s="29">
        <f>(D4-F4)^2</f>
        <v>1.7239258152484346E-5</v>
      </c>
    </row>
    <row r="5" spans="2:11" ht="20.5" customHeight="1" x14ac:dyDescent="0.2">
      <c r="B5" s="13">
        <v>2</v>
      </c>
      <c r="C5" s="14" t="s">
        <v>5</v>
      </c>
      <c r="D5" s="18">
        <f t="shared" ref="D5:D16" si="1">IF(C5="No",0,1)</f>
        <v>0</v>
      </c>
      <c r="F5" s="28">
        <f t="shared" si="0"/>
        <v>1.8706509954354602E-2</v>
      </c>
      <c r="G5" s="29">
        <f t="shared" ref="G5:G16" si="2">(D5-F5)^2</f>
        <v>3.4993351467236779E-4</v>
      </c>
    </row>
    <row r="6" spans="2:11" ht="20.5" customHeight="1" x14ac:dyDescent="0.2">
      <c r="B6" s="13">
        <v>3</v>
      </c>
      <c r="C6" s="14" t="s">
        <v>5</v>
      </c>
      <c r="D6" s="18">
        <f t="shared" si="1"/>
        <v>0</v>
      </c>
      <c r="F6" s="28">
        <f t="shared" si="0"/>
        <v>8.0172912172812361E-2</v>
      </c>
      <c r="G6" s="29">
        <f t="shared" si="2"/>
        <v>6.4276958462694848E-3</v>
      </c>
    </row>
    <row r="7" spans="2:11" ht="20.5" customHeight="1" x14ac:dyDescent="0.2">
      <c r="B7" s="13">
        <v>4</v>
      </c>
      <c r="C7" s="14" t="s">
        <v>5</v>
      </c>
      <c r="D7" s="18">
        <f t="shared" si="1"/>
        <v>0</v>
      </c>
      <c r="F7" s="28">
        <f t="shared" si="0"/>
        <v>0.28495789429901025</v>
      </c>
      <c r="G7" s="29">
        <f t="shared" si="2"/>
        <v>8.1201001523325905E-2</v>
      </c>
    </row>
    <row r="8" spans="2:11" ht="20.5" customHeight="1" thickBot="1" x14ac:dyDescent="0.25">
      <c r="B8" s="13">
        <v>5</v>
      </c>
      <c r="C8" s="14" t="s">
        <v>4</v>
      </c>
      <c r="D8" s="18">
        <f t="shared" si="1"/>
        <v>1</v>
      </c>
      <c r="F8" s="28">
        <f t="shared" si="0"/>
        <v>0.6456563062257954</v>
      </c>
      <c r="G8" s="29">
        <f t="shared" si="2"/>
        <v>0.12555945331754728</v>
      </c>
    </row>
    <row r="9" spans="2:11" ht="20.5" customHeight="1" x14ac:dyDescent="0.2">
      <c r="B9" s="13">
        <v>6</v>
      </c>
      <c r="C9" s="14" t="s">
        <v>4</v>
      </c>
      <c r="D9" s="18">
        <f t="shared" si="1"/>
        <v>1</v>
      </c>
      <c r="F9" s="28">
        <f t="shared" si="0"/>
        <v>0.8928319295134719</v>
      </c>
      <c r="G9" s="29">
        <f t="shared" si="2"/>
        <v>1.1484995331805456E-2</v>
      </c>
      <c r="K9" s="20">
        <v>57</v>
      </c>
    </row>
    <row r="10" spans="2:11" ht="20.5" customHeight="1" thickBot="1" x14ac:dyDescent="0.25">
      <c r="B10" s="13">
        <v>5</v>
      </c>
      <c r="C10" s="14" t="s">
        <v>5</v>
      </c>
      <c r="D10" s="18">
        <f t="shared" si="1"/>
        <v>0</v>
      </c>
      <c r="F10" s="28">
        <f t="shared" si="0"/>
        <v>0.6456563062257954</v>
      </c>
      <c r="G10" s="29">
        <f t="shared" si="2"/>
        <v>0.4168720657691381</v>
      </c>
      <c r="K10" s="21">
        <v>38</v>
      </c>
    </row>
    <row r="11" spans="2:11" ht="20.5" customHeight="1" x14ac:dyDescent="0.2">
      <c r="B11" s="13">
        <v>8</v>
      </c>
      <c r="C11" s="14" t="s">
        <v>4</v>
      </c>
      <c r="D11" s="18">
        <f t="shared" si="1"/>
        <v>1</v>
      </c>
      <c r="F11" s="28">
        <f t="shared" si="0"/>
        <v>0.99429107922297666</v>
      </c>
      <c r="G11" s="29">
        <f t="shared" si="2"/>
        <v>3.2591776438328786E-5</v>
      </c>
    </row>
    <row r="12" spans="2:11" ht="20.5" customHeight="1" x14ac:dyDescent="0.2">
      <c r="B12" s="13">
        <v>9</v>
      </c>
      <c r="C12" s="14" t="s">
        <v>4</v>
      </c>
      <c r="D12" s="18">
        <f t="shared" si="1"/>
        <v>1</v>
      </c>
      <c r="F12" s="28">
        <f t="shared" si="0"/>
        <v>0.99874579702790311</v>
      </c>
      <c r="G12" s="29">
        <f t="shared" si="2"/>
        <v>1.5730250952166597E-6</v>
      </c>
    </row>
    <row r="13" spans="2:11" ht="20.5" customHeight="1" x14ac:dyDescent="0.2">
      <c r="B13" s="13">
        <v>10</v>
      </c>
      <c r="C13" s="14" t="s">
        <v>4</v>
      </c>
      <c r="D13" s="18">
        <f t="shared" si="1"/>
        <v>1</v>
      </c>
      <c r="F13" s="28">
        <f t="shared" si="0"/>
        <v>0.99972542184389868</v>
      </c>
      <c r="G13" s="29">
        <f t="shared" si="2"/>
        <v>7.5393163808002967E-8</v>
      </c>
    </row>
    <row r="14" spans="2:11" ht="20.5" customHeight="1" x14ac:dyDescent="0.2">
      <c r="B14" s="13">
        <v>11</v>
      </c>
      <c r="C14" s="14" t="s">
        <v>4</v>
      </c>
      <c r="D14" s="18">
        <f t="shared" si="1"/>
        <v>1</v>
      </c>
      <c r="F14" s="28">
        <f t="shared" si="0"/>
        <v>0.99993993360764144</v>
      </c>
      <c r="G14" s="29">
        <f t="shared" si="2"/>
        <v>3.6079714909724531E-9</v>
      </c>
    </row>
    <row r="15" spans="2:11" ht="20.5" customHeight="1" x14ac:dyDescent="0.2">
      <c r="B15" s="13">
        <v>12</v>
      </c>
      <c r="C15" s="14" t="s">
        <v>4</v>
      </c>
      <c r="D15" s="18">
        <f t="shared" si="1"/>
        <v>1</v>
      </c>
      <c r="F15" s="28">
        <f t="shared" si="0"/>
        <v>0.99998686214943655</v>
      </c>
      <c r="G15" s="29">
        <f t="shared" si="2"/>
        <v>1.7260311742752785E-10</v>
      </c>
    </row>
    <row r="16" spans="2:11" ht="20.5" customHeight="1" thickBot="1" x14ac:dyDescent="0.25">
      <c r="B16" s="15">
        <v>13</v>
      </c>
      <c r="C16" s="16" t="s">
        <v>4</v>
      </c>
      <c r="D16" s="19">
        <f t="shared" si="1"/>
        <v>1</v>
      </c>
      <c r="F16" s="28">
        <f t="shared" si="0"/>
        <v>0.99999712656641859</v>
      </c>
      <c r="G16" s="29">
        <f t="shared" si="2"/>
        <v>8.2566205467594553E-12</v>
      </c>
    </row>
    <row r="18" spans="1:43" ht="20" thickBot="1" x14ac:dyDescent="0.3">
      <c r="G18" s="27">
        <f>SUM(G4:G16)</f>
        <v>0.64194662854443973</v>
      </c>
    </row>
    <row r="20" spans="1:43" ht="21" customHeight="1" x14ac:dyDescent="0.2"/>
    <row r="21" spans="1:43" ht="21" customHeight="1" x14ac:dyDescent="0.2"/>
    <row r="23" spans="1:43" ht="16" thickBot="1" x14ac:dyDescent="0.25"/>
    <row r="24" spans="1:43" ht="16" thickBot="1" x14ac:dyDescent="0.25">
      <c r="P24" s="32" t="s">
        <v>0</v>
      </c>
      <c r="Q24" s="33">
        <v>10</v>
      </c>
    </row>
    <row r="25" spans="1:43" ht="25" thickBot="1" x14ac:dyDescent="0.35">
      <c r="A25" t="s">
        <v>0</v>
      </c>
      <c r="B25">
        <v>0.5</v>
      </c>
      <c r="O25" s="84" t="s">
        <v>12</v>
      </c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</row>
    <row r="26" spans="1:43" x14ac:dyDescent="0.2">
      <c r="L26" s="34" t="s">
        <v>0</v>
      </c>
      <c r="O26" s="58">
        <f>G18</f>
        <v>0.64194662854443973</v>
      </c>
      <c r="P26" s="61">
        <v>-150</v>
      </c>
      <c r="Q26" s="62">
        <f>P26+$Q$24</f>
        <v>-140</v>
      </c>
      <c r="R26" s="62">
        <f t="shared" ref="R26:AQ26" si="3">Q26+$Q$24</f>
        <v>-130</v>
      </c>
      <c r="S26" s="62">
        <f t="shared" si="3"/>
        <v>-120</v>
      </c>
      <c r="T26" s="62">
        <f t="shared" si="3"/>
        <v>-110</v>
      </c>
      <c r="U26" s="62">
        <f t="shared" si="3"/>
        <v>-100</v>
      </c>
      <c r="V26" s="62">
        <f t="shared" si="3"/>
        <v>-90</v>
      </c>
      <c r="W26" s="62">
        <f t="shared" si="3"/>
        <v>-80</v>
      </c>
      <c r="X26" s="62">
        <f t="shared" si="3"/>
        <v>-70</v>
      </c>
      <c r="Y26" s="62">
        <f t="shared" si="3"/>
        <v>-60</v>
      </c>
      <c r="Z26" s="62">
        <f t="shared" si="3"/>
        <v>-50</v>
      </c>
      <c r="AA26" s="62">
        <f t="shared" si="3"/>
        <v>-40</v>
      </c>
      <c r="AB26" s="62">
        <f t="shared" si="3"/>
        <v>-30</v>
      </c>
      <c r="AC26" s="62">
        <f t="shared" si="3"/>
        <v>-20</v>
      </c>
      <c r="AD26" s="62">
        <f t="shared" si="3"/>
        <v>-10</v>
      </c>
      <c r="AE26" s="62">
        <f t="shared" si="3"/>
        <v>0</v>
      </c>
      <c r="AF26" s="62">
        <f t="shared" si="3"/>
        <v>10</v>
      </c>
      <c r="AG26" s="62">
        <f t="shared" si="3"/>
        <v>20</v>
      </c>
      <c r="AH26" s="62">
        <f t="shared" si="3"/>
        <v>30</v>
      </c>
      <c r="AI26" s="62">
        <f t="shared" si="3"/>
        <v>40</v>
      </c>
      <c r="AJ26" s="62">
        <f t="shared" si="3"/>
        <v>50</v>
      </c>
      <c r="AK26" s="62">
        <f t="shared" si="3"/>
        <v>60</v>
      </c>
      <c r="AL26" s="62">
        <f t="shared" si="3"/>
        <v>70</v>
      </c>
      <c r="AM26" s="62">
        <f t="shared" si="3"/>
        <v>80</v>
      </c>
      <c r="AN26" s="62">
        <f t="shared" si="3"/>
        <v>90</v>
      </c>
      <c r="AO26" s="62">
        <f t="shared" si="3"/>
        <v>100</v>
      </c>
      <c r="AP26" s="62">
        <f t="shared" si="3"/>
        <v>110</v>
      </c>
      <c r="AQ26" s="62">
        <f t="shared" si="3"/>
        <v>120</v>
      </c>
    </row>
    <row r="27" spans="1:43" ht="17" thickBot="1" x14ac:dyDescent="0.25">
      <c r="B27" s="9" t="s">
        <v>6</v>
      </c>
      <c r="C27" s="9" t="s">
        <v>7</v>
      </c>
      <c r="D27" s="9" t="s">
        <v>10</v>
      </c>
      <c r="L27" s="35">
        <v>0.3</v>
      </c>
      <c r="N27" s="85" t="s">
        <v>9</v>
      </c>
      <c r="O27" s="59">
        <v>0</v>
      </c>
      <c r="P27" s="37">
        <f t="dataTable" ref="P27:AQ57" dt2D="1" dtr="1" r1="H2" r2="I2"/>
        <v>8</v>
      </c>
      <c r="Q27" s="37">
        <v>8</v>
      </c>
      <c r="R27" s="37">
        <v>8</v>
      </c>
      <c r="S27" s="37">
        <v>8</v>
      </c>
      <c r="T27" s="37">
        <v>8</v>
      </c>
      <c r="U27" s="37">
        <v>8</v>
      </c>
      <c r="V27" s="37">
        <v>8</v>
      </c>
      <c r="W27" s="37">
        <v>8</v>
      </c>
      <c r="X27" s="37">
        <v>8</v>
      </c>
      <c r="Y27" s="37">
        <v>8</v>
      </c>
      <c r="Z27" s="37">
        <v>8</v>
      </c>
      <c r="AA27" s="37">
        <v>8</v>
      </c>
      <c r="AB27" s="37">
        <v>7.9999999999985016</v>
      </c>
      <c r="AC27" s="37">
        <v>7.9999999670215436</v>
      </c>
      <c r="AD27" s="37">
        <v>7.9992736608933255</v>
      </c>
      <c r="AE27" s="37">
        <v>3.25</v>
      </c>
      <c r="AF27" s="37">
        <v>4.9995460481055405</v>
      </c>
      <c r="AG27" s="37">
        <v>4.9999999793884644</v>
      </c>
      <c r="AH27" s="37">
        <v>4.9999999999990639</v>
      </c>
      <c r="AI27" s="37">
        <v>5</v>
      </c>
      <c r="AJ27" s="37">
        <v>5</v>
      </c>
      <c r="AK27" s="37">
        <v>5</v>
      </c>
      <c r="AL27" s="37">
        <v>5</v>
      </c>
      <c r="AM27" s="37">
        <v>5</v>
      </c>
      <c r="AN27" s="37">
        <v>5</v>
      </c>
      <c r="AO27" s="37">
        <v>5</v>
      </c>
      <c r="AP27" s="37">
        <v>5</v>
      </c>
      <c r="AQ27" s="37">
        <v>5</v>
      </c>
    </row>
    <row r="28" spans="1:43" ht="16" x14ac:dyDescent="0.2">
      <c r="B28" s="26">
        <v>-2</v>
      </c>
      <c r="C28" s="7">
        <f>Sigmoid(B28)</f>
        <v>0.11920292202211755</v>
      </c>
      <c r="D28" s="3">
        <f t="shared" ref="D28:D59" si="4">Sigmoid($I$2*B28+$H$2)</f>
        <v>4.3617870452442492E-5</v>
      </c>
      <c r="N28" s="85"/>
      <c r="O28" s="60">
        <f t="shared" ref="O28:O57" si="5">O27+$L$27</f>
        <v>0.3</v>
      </c>
      <c r="P28" s="37">
        <v>8</v>
      </c>
      <c r="Q28" s="37">
        <v>8</v>
      </c>
      <c r="R28" s="37">
        <v>8</v>
      </c>
      <c r="S28" s="37">
        <v>8</v>
      </c>
      <c r="T28" s="37">
        <v>8</v>
      </c>
      <c r="U28" s="37">
        <v>8</v>
      </c>
      <c r="V28" s="37">
        <v>8</v>
      </c>
      <c r="W28" s="37">
        <v>8</v>
      </c>
      <c r="X28" s="37">
        <v>8</v>
      </c>
      <c r="Y28" s="37">
        <v>8</v>
      </c>
      <c r="Z28" s="37">
        <v>8</v>
      </c>
      <c r="AA28" s="37">
        <v>8</v>
      </c>
      <c r="AB28" s="37">
        <v>7.9999999999682521</v>
      </c>
      <c r="AC28" s="37">
        <v>7.9999993007202947</v>
      </c>
      <c r="AD28" s="37">
        <v>7.9846302341177822</v>
      </c>
      <c r="AE28" s="37">
        <v>2.580263531264765</v>
      </c>
      <c r="AF28" s="37">
        <v>4.9997983840849987</v>
      </c>
      <c r="AG28" s="37">
        <v>4.9999999908463186</v>
      </c>
      <c r="AH28" s="37">
        <v>4.9999999999995843</v>
      </c>
      <c r="AI28" s="37">
        <v>5</v>
      </c>
      <c r="AJ28" s="37">
        <v>5</v>
      </c>
      <c r="AK28" s="37">
        <v>5</v>
      </c>
      <c r="AL28" s="37">
        <v>5</v>
      </c>
      <c r="AM28" s="37">
        <v>5</v>
      </c>
      <c r="AN28" s="37">
        <v>5</v>
      </c>
      <c r="AO28" s="37">
        <v>5</v>
      </c>
      <c r="AP28" s="37">
        <v>5</v>
      </c>
      <c r="AQ28" s="37">
        <v>5</v>
      </c>
    </row>
    <row r="29" spans="1:43" ht="16" x14ac:dyDescent="0.2">
      <c r="B29" s="2">
        <f>B28+$B$25</f>
        <v>-1.5</v>
      </c>
      <c r="C29" s="7">
        <f>Sigmoid(B29)</f>
        <v>0.18242552380635635</v>
      </c>
      <c r="D29" s="3">
        <f t="shared" si="4"/>
        <v>9.3262424773812928E-5</v>
      </c>
      <c r="N29" s="85"/>
      <c r="O29" s="60">
        <f t="shared" si="5"/>
        <v>0.6</v>
      </c>
      <c r="P29" s="37">
        <v>8</v>
      </c>
      <c r="Q29" s="37">
        <v>8</v>
      </c>
      <c r="R29" s="37">
        <v>8</v>
      </c>
      <c r="S29" s="37">
        <v>8</v>
      </c>
      <c r="T29" s="37">
        <v>8</v>
      </c>
      <c r="U29" s="37">
        <v>8</v>
      </c>
      <c r="V29" s="37">
        <v>8</v>
      </c>
      <c r="W29" s="37">
        <v>8</v>
      </c>
      <c r="X29" s="37">
        <v>8</v>
      </c>
      <c r="Y29" s="37">
        <v>8</v>
      </c>
      <c r="Z29" s="37">
        <v>8</v>
      </c>
      <c r="AA29" s="37">
        <v>7.9999999999999547</v>
      </c>
      <c r="AB29" s="37">
        <v>7.9999999990046939</v>
      </c>
      <c r="AC29" s="37">
        <v>7.9999780770300912</v>
      </c>
      <c r="AD29" s="37">
        <v>7.5640080412065949</v>
      </c>
      <c r="AE29" s="37">
        <v>3.4949439162796887</v>
      </c>
      <c r="AF29" s="37">
        <v>4.9998950553016623</v>
      </c>
      <c r="AG29" s="37">
        <v>4.9999999952353971</v>
      </c>
      <c r="AH29" s="37">
        <v>4.9999999999997833</v>
      </c>
      <c r="AI29" s="37">
        <v>5</v>
      </c>
      <c r="AJ29" s="37">
        <v>5</v>
      </c>
      <c r="AK29" s="37">
        <v>5</v>
      </c>
      <c r="AL29" s="37">
        <v>5</v>
      </c>
      <c r="AM29" s="37">
        <v>5</v>
      </c>
      <c r="AN29" s="37">
        <v>5</v>
      </c>
      <c r="AO29" s="37">
        <v>5</v>
      </c>
      <c r="AP29" s="37">
        <v>5</v>
      </c>
      <c r="AQ29" s="37">
        <v>5</v>
      </c>
    </row>
    <row r="30" spans="1:43" ht="16" x14ac:dyDescent="0.2">
      <c r="B30" s="2">
        <f t="shared" ref="B30:B78" si="6">B29+$B$25</f>
        <v>-1</v>
      </c>
      <c r="C30" s="7">
        <f t="shared" ref="C30:C78" si="7">Sigmoid(B30)</f>
        <v>0.2689414213699951</v>
      </c>
      <c r="D30" s="3">
        <f t="shared" si="4"/>
        <v>1.9939965721107084E-4</v>
      </c>
      <c r="N30" s="85"/>
      <c r="O30" s="60">
        <f t="shared" si="5"/>
        <v>0.89999999999999991</v>
      </c>
      <c r="P30" s="37">
        <v>8</v>
      </c>
      <c r="Q30" s="37">
        <v>8</v>
      </c>
      <c r="R30" s="37">
        <v>8</v>
      </c>
      <c r="S30" s="37">
        <v>8</v>
      </c>
      <c r="T30" s="37">
        <v>8</v>
      </c>
      <c r="U30" s="37">
        <v>8</v>
      </c>
      <c r="V30" s="37">
        <v>8</v>
      </c>
      <c r="W30" s="37">
        <v>8</v>
      </c>
      <c r="X30" s="37">
        <v>8</v>
      </c>
      <c r="Y30" s="37">
        <v>8</v>
      </c>
      <c r="Z30" s="37">
        <v>8</v>
      </c>
      <c r="AA30" s="37">
        <v>7.9999999999982787</v>
      </c>
      <c r="AB30" s="37">
        <v>7.9999999620882836</v>
      </c>
      <c r="AC30" s="37">
        <v>7.9991651607960916</v>
      </c>
      <c r="AD30" s="37">
        <v>4.5474656953180084</v>
      </c>
      <c r="AE30" s="37">
        <v>4.045689558363236</v>
      </c>
      <c r="AF30" s="37">
        <v>4.9999384837042298</v>
      </c>
      <c r="AG30" s="37">
        <v>4.9999999972071087</v>
      </c>
      <c r="AH30" s="37">
        <v>4.999999999999873</v>
      </c>
      <c r="AI30" s="37">
        <v>5</v>
      </c>
      <c r="AJ30" s="37">
        <v>5</v>
      </c>
      <c r="AK30" s="37">
        <v>5</v>
      </c>
      <c r="AL30" s="37">
        <v>5</v>
      </c>
      <c r="AM30" s="37">
        <v>5</v>
      </c>
      <c r="AN30" s="37">
        <v>5</v>
      </c>
      <c r="AO30" s="37">
        <v>5</v>
      </c>
      <c r="AP30" s="37">
        <v>5</v>
      </c>
      <c r="AQ30" s="37">
        <v>5</v>
      </c>
    </row>
    <row r="31" spans="1:43" ht="16" x14ac:dyDescent="0.2">
      <c r="B31" s="2">
        <f t="shared" si="6"/>
        <v>-0.5</v>
      </c>
      <c r="C31" s="7">
        <f t="shared" si="7"/>
        <v>0.37754066879814541</v>
      </c>
      <c r="D31" s="3">
        <f t="shared" si="4"/>
        <v>4.262747929950007E-4</v>
      </c>
      <c r="N31" s="85"/>
      <c r="O31" s="60">
        <f t="shared" si="5"/>
        <v>1.2</v>
      </c>
      <c r="P31" s="37">
        <v>8</v>
      </c>
      <c r="Q31" s="37">
        <v>8</v>
      </c>
      <c r="R31" s="37">
        <v>8</v>
      </c>
      <c r="S31" s="37">
        <v>8</v>
      </c>
      <c r="T31" s="37">
        <v>8</v>
      </c>
      <c r="U31" s="37">
        <v>8</v>
      </c>
      <c r="V31" s="37">
        <v>8</v>
      </c>
      <c r="W31" s="37">
        <v>8</v>
      </c>
      <c r="X31" s="37">
        <v>8</v>
      </c>
      <c r="Y31" s="37">
        <v>8</v>
      </c>
      <c r="Z31" s="37">
        <v>7.9999999999999964</v>
      </c>
      <c r="AA31" s="37">
        <v>7.9999999999276143</v>
      </c>
      <c r="AB31" s="37">
        <v>7.999998405600385</v>
      </c>
      <c r="AC31" s="37">
        <v>7.9653708057153434</v>
      </c>
      <c r="AD31" s="37">
        <v>2.3237921206721865</v>
      </c>
      <c r="AE31" s="37">
        <v>4.3575250885020447</v>
      </c>
      <c r="AF31" s="37">
        <v>4.999960961726984</v>
      </c>
      <c r="AG31" s="37">
        <v>4.9999999982276364</v>
      </c>
      <c r="AH31" s="37">
        <v>4.9999999999999201</v>
      </c>
      <c r="AI31" s="37">
        <v>5</v>
      </c>
      <c r="AJ31" s="37">
        <v>5</v>
      </c>
      <c r="AK31" s="37">
        <v>5</v>
      </c>
      <c r="AL31" s="37">
        <v>5</v>
      </c>
      <c r="AM31" s="37">
        <v>5</v>
      </c>
      <c r="AN31" s="37">
        <v>5</v>
      </c>
      <c r="AO31" s="37">
        <v>5</v>
      </c>
      <c r="AP31" s="37">
        <v>5</v>
      </c>
      <c r="AQ31" s="37">
        <v>5</v>
      </c>
    </row>
    <row r="32" spans="1:43" ht="16" x14ac:dyDescent="0.2">
      <c r="B32" s="2">
        <f t="shared" si="6"/>
        <v>0</v>
      </c>
      <c r="C32" s="7">
        <f t="shared" si="7"/>
        <v>0.5</v>
      </c>
      <c r="D32" s="3">
        <f t="shared" si="4"/>
        <v>9.1105119440064539E-4</v>
      </c>
      <c r="N32" s="85"/>
      <c r="O32" s="60">
        <f t="shared" si="5"/>
        <v>1.5</v>
      </c>
      <c r="P32" s="37">
        <v>8</v>
      </c>
      <c r="Q32" s="37">
        <v>8</v>
      </c>
      <c r="R32" s="37">
        <v>8</v>
      </c>
      <c r="S32" s="37">
        <v>8</v>
      </c>
      <c r="T32" s="37">
        <v>8</v>
      </c>
      <c r="U32" s="37">
        <v>8</v>
      </c>
      <c r="V32" s="37">
        <v>8</v>
      </c>
      <c r="W32" s="37">
        <v>8</v>
      </c>
      <c r="X32" s="37">
        <v>8</v>
      </c>
      <c r="Y32" s="37">
        <v>8</v>
      </c>
      <c r="Z32" s="37">
        <v>7.9999999999998543</v>
      </c>
      <c r="AA32" s="37">
        <v>7.9999999967818773</v>
      </c>
      <c r="AB32" s="37">
        <v>7.9999291185207335</v>
      </c>
      <c r="AC32" s="37">
        <v>7.0884413947671163</v>
      </c>
      <c r="AD32" s="37">
        <v>1.4096958628185099</v>
      </c>
      <c r="AE32" s="37">
        <v>4.5479282555345639</v>
      </c>
      <c r="AF32" s="37">
        <v>4.9999739354923136</v>
      </c>
      <c r="AG32" s="37">
        <v>4.9999999988166586</v>
      </c>
      <c r="AH32" s="37">
        <v>4.9999999999999467</v>
      </c>
      <c r="AI32" s="37">
        <v>5</v>
      </c>
      <c r="AJ32" s="37">
        <v>5</v>
      </c>
      <c r="AK32" s="37">
        <v>5</v>
      </c>
      <c r="AL32" s="37">
        <v>5</v>
      </c>
      <c r="AM32" s="37">
        <v>5</v>
      </c>
      <c r="AN32" s="37">
        <v>5</v>
      </c>
      <c r="AO32" s="37">
        <v>5</v>
      </c>
      <c r="AP32" s="37">
        <v>5</v>
      </c>
      <c r="AQ32" s="37">
        <v>5</v>
      </c>
    </row>
    <row r="33" spans="2:43" ht="16" x14ac:dyDescent="0.2">
      <c r="B33" s="2">
        <f t="shared" si="6"/>
        <v>0.5</v>
      </c>
      <c r="C33" s="7">
        <f t="shared" si="7"/>
        <v>0.62245933120185459</v>
      </c>
      <c r="D33" s="3">
        <f t="shared" si="4"/>
        <v>1.9460609850855582E-3</v>
      </c>
      <c r="N33" s="85"/>
      <c r="O33" s="60">
        <f t="shared" si="5"/>
        <v>1.8</v>
      </c>
      <c r="P33" s="37">
        <v>8</v>
      </c>
      <c r="Q33" s="37">
        <v>8</v>
      </c>
      <c r="R33" s="37">
        <v>8</v>
      </c>
      <c r="S33" s="37">
        <v>8</v>
      </c>
      <c r="T33" s="37">
        <v>8</v>
      </c>
      <c r="U33" s="37">
        <v>8</v>
      </c>
      <c r="V33" s="37">
        <v>8</v>
      </c>
      <c r="W33" s="37">
        <v>8</v>
      </c>
      <c r="X33" s="37">
        <v>8</v>
      </c>
      <c r="Y33" s="37">
        <v>8</v>
      </c>
      <c r="Z33" s="37">
        <v>7.9999999999932818</v>
      </c>
      <c r="AA33" s="37">
        <v>7.9999998520199629</v>
      </c>
      <c r="AB33" s="37">
        <v>7.996746220157438</v>
      </c>
      <c r="AC33" s="37">
        <v>5.056507628659479</v>
      </c>
      <c r="AD33" s="37">
        <v>0.70643119886460537</v>
      </c>
      <c r="AE33" s="37">
        <v>4.6732224184847384</v>
      </c>
      <c r="AF33" s="37">
        <v>4.9999820209673151</v>
      </c>
      <c r="AG33" s="37">
        <v>4.9999999991837454</v>
      </c>
      <c r="AH33" s="37">
        <v>4.9999999999999627</v>
      </c>
      <c r="AI33" s="37">
        <v>5</v>
      </c>
      <c r="AJ33" s="37">
        <v>5</v>
      </c>
      <c r="AK33" s="37">
        <v>5</v>
      </c>
      <c r="AL33" s="37">
        <v>5</v>
      </c>
      <c r="AM33" s="37">
        <v>5</v>
      </c>
      <c r="AN33" s="37">
        <v>5</v>
      </c>
      <c r="AO33" s="37">
        <v>5</v>
      </c>
      <c r="AP33" s="37">
        <v>5</v>
      </c>
      <c r="AQ33" s="37">
        <v>5</v>
      </c>
    </row>
    <row r="34" spans="2:43" ht="16" x14ac:dyDescent="0.2">
      <c r="B34" s="2">
        <f t="shared" si="6"/>
        <v>1</v>
      </c>
      <c r="C34" s="7">
        <f t="shared" si="7"/>
        <v>0.7310585786300049</v>
      </c>
      <c r="D34" s="3">
        <f t="shared" si="4"/>
        <v>4.1520185636006431E-3</v>
      </c>
      <c r="N34" s="85"/>
      <c r="O34" s="60">
        <f t="shared" si="5"/>
        <v>2.1</v>
      </c>
      <c r="P34" s="37">
        <v>8</v>
      </c>
      <c r="Q34" s="37">
        <v>8</v>
      </c>
      <c r="R34" s="37">
        <v>8</v>
      </c>
      <c r="S34" s="37">
        <v>8</v>
      </c>
      <c r="T34" s="37">
        <v>8</v>
      </c>
      <c r="U34" s="37">
        <v>8</v>
      </c>
      <c r="V34" s="37">
        <v>8</v>
      </c>
      <c r="W34" s="37">
        <v>8</v>
      </c>
      <c r="X34" s="37">
        <v>8</v>
      </c>
      <c r="Y34" s="37">
        <v>7.9999999999999858</v>
      </c>
      <c r="Z34" s="37">
        <v>7.9999999996842988</v>
      </c>
      <c r="AA34" s="37">
        <v>7.9999930462619337</v>
      </c>
      <c r="AB34" s="37">
        <v>7.8594671272893342</v>
      </c>
      <c r="AC34" s="37">
        <v>3.558939946354549</v>
      </c>
      <c r="AD34" s="37">
        <v>0.56358313766238299</v>
      </c>
      <c r="AE34" s="37">
        <v>4.7602115115575572</v>
      </c>
      <c r="AF34" s="37">
        <v>4.9999873298169408</v>
      </c>
      <c r="AG34" s="37">
        <v>4.9999999994247704</v>
      </c>
      <c r="AH34" s="37">
        <v>4.9999999999999734</v>
      </c>
      <c r="AI34" s="37">
        <v>5</v>
      </c>
      <c r="AJ34" s="37">
        <v>5</v>
      </c>
      <c r="AK34" s="37">
        <v>5</v>
      </c>
      <c r="AL34" s="37">
        <v>5</v>
      </c>
      <c r="AM34" s="37">
        <v>5</v>
      </c>
      <c r="AN34" s="37">
        <v>5</v>
      </c>
      <c r="AO34" s="37">
        <v>5</v>
      </c>
      <c r="AP34" s="37">
        <v>5</v>
      </c>
      <c r="AQ34" s="37">
        <v>5</v>
      </c>
    </row>
    <row r="35" spans="2:43" ht="16" x14ac:dyDescent="0.2">
      <c r="B35" s="2">
        <f t="shared" si="6"/>
        <v>1.5</v>
      </c>
      <c r="C35" s="7">
        <f t="shared" si="7"/>
        <v>0.81757447619364365</v>
      </c>
      <c r="D35" s="3">
        <f t="shared" si="4"/>
        <v>8.8364004606077216E-3</v>
      </c>
      <c r="N35" s="85"/>
      <c r="O35" s="60">
        <f t="shared" si="5"/>
        <v>2.4</v>
      </c>
      <c r="P35" s="37">
        <v>8</v>
      </c>
      <c r="Q35" s="37">
        <v>8</v>
      </c>
      <c r="R35" s="37">
        <v>8</v>
      </c>
      <c r="S35" s="37">
        <v>8</v>
      </c>
      <c r="T35" s="37">
        <v>8</v>
      </c>
      <c r="U35" s="37">
        <v>8</v>
      </c>
      <c r="V35" s="37">
        <v>8</v>
      </c>
      <c r="W35" s="37">
        <v>8</v>
      </c>
      <c r="X35" s="37">
        <v>8</v>
      </c>
      <c r="Y35" s="37">
        <v>7.9999999999993161</v>
      </c>
      <c r="Z35" s="37">
        <v>7.9999999849479764</v>
      </c>
      <c r="AA35" s="37">
        <v>7.9996685258236271</v>
      </c>
      <c r="AB35" s="37">
        <v>6.5862946521902872</v>
      </c>
      <c r="AC35" s="37">
        <v>2.4965835052277634</v>
      </c>
      <c r="AD35" s="37">
        <v>0.95452794338503022</v>
      </c>
      <c r="AE35" s="37">
        <v>4.8226745566210125</v>
      </c>
      <c r="AF35" s="37">
        <v>4.9999909411164793</v>
      </c>
      <c r="AG35" s="37">
        <v>4.9999999995887254</v>
      </c>
      <c r="AH35" s="37">
        <v>4.9999999999999813</v>
      </c>
      <c r="AI35" s="37">
        <v>5</v>
      </c>
      <c r="AJ35" s="37">
        <v>5</v>
      </c>
      <c r="AK35" s="37">
        <v>5</v>
      </c>
      <c r="AL35" s="37">
        <v>5</v>
      </c>
      <c r="AM35" s="37">
        <v>5</v>
      </c>
      <c r="AN35" s="37">
        <v>5</v>
      </c>
      <c r="AO35" s="37">
        <v>5</v>
      </c>
      <c r="AP35" s="37">
        <v>5</v>
      </c>
      <c r="AQ35" s="37">
        <v>5</v>
      </c>
    </row>
    <row r="36" spans="2:43" ht="16" x14ac:dyDescent="0.2">
      <c r="B36" s="2">
        <f t="shared" si="6"/>
        <v>2</v>
      </c>
      <c r="C36" s="7">
        <f t="shared" si="7"/>
        <v>0.88079707797788243</v>
      </c>
      <c r="D36" s="3">
        <f t="shared" si="4"/>
        <v>1.8706509954354602E-2</v>
      </c>
      <c r="N36" s="85"/>
      <c r="O36" s="60">
        <f t="shared" si="5"/>
        <v>2.6999999999999997</v>
      </c>
      <c r="P36" s="37">
        <v>8</v>
      </c>
      <c r="Q36" s="37">
        <v>8</v>
      </c>
      <c r="R36" s="37">
        <v>8</v>
      </c>
      <c r="S36" s="37">
        <v>8</v>
      </c>
      <c r="T36" s="37">
        <v>8</v>
      </c>
      <c r="U36" s="37">
        <v>8</v>
      </c>
      <c r="V36" s="37">
        <v>8</v>
      </c>
      <c r="W36" s="37">
        <v>8</v>
      </c>
      <c r="X36" s="37">
        <v>7.9999999999999982</v>
      </c>
      <c r="Y36" s="37">
        <v>7.9999999999670903</v>
      </c>
      <c r="Z36" s="37">
        <v>7.9999992751368838</v>
      </c>
      <c r="AA36" s="37">
        <v>7.9841992924119509</v>
      </c>
      <c r="AB36" s="37">
        <v>5.2372258464037911</v>
      </c>
      <c r="AC36" s="37">
        <v>1.9821162672700612</v>
      </c>
      <c r="AD36" s="37">
        <v>1.4361905480530799</v>
      </c>
      <c r="AE36" s="37">
        <v>4.8683962599605026</v>
      </c>
      <c r="AF36" s="37">
        <v>4.9999934581339573</v>
      </c>
      <c r="AG36" s="37">
        <v>4.9999999997029985</v>
      </c>
      <c r="AH36" s="37">
        <v>4.9999999999999867</v>
      </c>
      <c r="AI36" s="37">
        <v>5</v>
      </c>
      <c r="AJ36" s="37">
        <v>5</v>
      </c>
      <c r="AK36" s="37">
        <v>5</v>
      </c>
      <c r="AL36" s="37">
        <v>5</v>
      </c>
      <c r="AM36" s="37">
        <v>5</v>
      </c>
      <c r="AN36" s="37">
        <v>5</v>
      </c>
      <c r="AO36" s="37">
        <v>5</v>
      </c>
      <c r="AP36" s="37">
        <v>5</v>
      </c>
      <c r="AQ36" s="37">
        <v>5</v>
      </c>
    </row>
    <row r="37" spans="2:43" ht="16" x14ac:dyDescent="0.2">
      <c r="B37" s="2">
        <f t="shared" si="6"/>
        <v>2.5</v>
      </c>
      <c r="C37" s="7">
        <f t="shared" si="7"/>
        <v>0.92414181997875644</v>
      </c>
      <c r="D37" s="3">
        <f t="shared" si="4"/>
        <v>3.9165722796764356E-2</v>
      </c>
      <c r="N37" s="85"/>
      <c r="O37" s="60">
        <f t="shared" si="5"/>
        <v>2.9999999999999996</v>
      </c>
      <c r="P37" s="37">
        <v>8</v>
      </c>
      <c r="Q37" s="37">
        <v>8</v>
      </c>
      <c r="R37" s="37">
        <v>8</v>
      </c>
      <c r="S37" s="37">
        <v>8</v>
      </c>
      <c r="T37" s="37">
        <v>8</v>
      </c>
      <c r="U37" s="37">
        <v>8</v>
      </c>
      <c r="V37" s="37">
        <v>8</v>
      </c>
      <c r="W37" s="37">
        <v>8</v>
      </c>
      <c r="X37" s="37">
        <v>7.9999999999999272</v>
      </c>
      <c r="Y37" s="37">
        <v>7.9999999984040295</v>
      </c>
      <c r="Z37" s="37">
        <v>7.9999648472433389</v>
      </c>
      <c r="AA37" s="37">
        <v>7.4968809168627129</v>
      </c>
      <c r="AB37" s="37">
        <v>4.1547007770659583</v>
      </c>
      <c r="AC37" s="37">
        <v>1.7628318278013044</v>
      </c>
      <c r="AD37" s="37">
        <v>1.8351613135847908</v>
      </c>
      <c r="AE37" s="37">
        <v>4.902198660602056</v>
      </c>
      <c r="AF37" s="37">
        <v>4.999995242494939</v>
      </c>
      <c r="AG37" s="37">
        <v>4.9999999997840092</v>
      </c>
      <c r="AH37" s="37">
        <v>4.9999999999999902</v>
      </c>
      <c r="AI37" s="37">
        <v>5</v>
      </c>
      <c r="AJ37" s="37">
        <v>5</v>
      </c>
      <c r="AK37" s="37">
        <v>5</v>
      </c>
      <c r="AL37" s="37">
        <v>5</v>
      </c>
      <c r="AM37" s="37">
        <v>5</v>
      </c>
      <c r="AN37" s="37">
        <v>5</v>
      </c>
      <c r="AO37" s="37">
        <v>5</v>
      </c>
      <c r="AP37" s="37">
        <v>5</v>
      </c>
      <c r="AQ37" s="37">
        <v>5</v>
      </c>
    </row>
    <row r="38" spans="2:43" ht="16" x14ac:dyDescent="0.2">
      <c r="B38" s="2">
        <f t="shared" si="6"/>
        <v>3</v>
      </c>
      <c r="C38" s="7">
        <f t="shared" si="7"/>
        <v>0.95257412682243325</v>
      </c>
      <c r="D38" s="3">
        <f t="shared" si="4"/>
        <v>8.0172912172812361E-2</v>
      </c>
      <c r="N38" s="85"/>
      <c r="O38" s="60">
        <f t="shared" si="5"/>
        <v>3.2999999999999994</v>
      </c>
      <c r="P38" s="37">
        <v>8</v>
      </c>
      <c r="Q38" s="37">
        <v>8</v>
      </c>
      <c r="R38" s="37">
        <v>8</v>
      </c>
      <c r="S38" s="37">
        <v>8</v>
      </c>
      <c r="T38" s="37">
        <v>8</v>
      </c>
      <c r="U38" s="37">
        <v>8</v>
      </c>
      <c r="V38" s="37">
        <v>8</v>
      </c>
      <c r="W38" s="37">
        <v>8</v>
      </c>
      <c r="X38" s="37">
        <v>7.9999999999964686</v>
      </c>
      <c r="Y38" s="37">
        <v>7.999999922211507</v>
      </c>
      <c r="Z38" s="37">
        <v>7.9982886372611697</v>
      </c>
      <c r="AA38" s="37">
        <v>6.3115839591832721</v>
      </c>
      <c r="AB38" s="37">
        <v>3.2796731173358049</v>
      </c>
      <c r="AC38" s="37">
        <v>1.245415371648608</v>
      </c>
      <c r="AD38" s="37">
        <v>2.1468939346952971</v>
      </c>
      <c r="AE38" s="37">
        <v>4.927303557120303</v>
      </c>
      <c r="AF38" s="37">
        <v>4.9999965227706911</v>
      </c>
      <c r="AG38" s="37">
        <v>4.9999999998421334</v>
      </c>
      <c r="AH38" s="37">
        <v>4.9999999999999929</v>
      </c>
      <c r="AI38" s="37">
        <v>5</v>
      </c>
      <c r="AJ38" s="37">
        <v>5</v>
      </c>
      <c r="AK38" s="37">
        <v>5</v>
      </c>
      <c r="AL38" s="37">
        <v>5</v>
      </c>
      <c r="AM38" s="37">
        <v>5</v>
      </c>
      <c r="AN38" s="37">
        <v>5</v>
      </c>
      <c r="AO38" s="37">
        <v>5</v>
      </c>
      <c r="AP38" s="37">
        <v>5</v>
      </c>
      <c r="AQ38" s="37">
        <v>5</v>
      </c>
    </row>
    <row r="39" spans="2:43" ht="16" x14ac:dyDescent="0.2">
      <c r="B39" s="2">
        <f t="shared" si="6"/>
        <v>3.5</v>
      </c>
      <c r="C39" s="7">
        <f t="shared" si="7"/>
        <v>0.97068776924864364</v>
      </c>
      <c r="D39" s="3">
        <f t="shared" si="4"/>
        <v>0.15709546888545275</v>
      </c>
      <c r="N39" s="85"/>
      <c r="O39" s="60">
        <f t="shared" si="5"/>
        <v>3.5999999999999992</v>
      </c>
      <c r="P39" s="37">
        <v>8</v>
      </c>
      <c r="Q39" s="37">
        <v>8</v>
      </c>
      <c r="R39" s="37">
        <v>8</v>
      </c>
      <c r="S39" s="37">
        <v>8</v>
      </c>
      <c r="T39" s="37">
        <v>8</v>
      </c>
      <c r="U39" s="37">
        <v>8</v>
      </c>
      <c r="V39" s="37">
        <v>8</v>
      </c>
      <c r="W39" s="37">
        <v>7.9999999999999929</v>
      </c>
      <c r="X39" s="37">
        <v>7.9999999998272457</v>
      </c>
      <c r="Y39" s="37">
        <v>7.9999961948363731</v>
      </c>
      <c r="Z39" s="37">
        <v>7.9209161019927983</v>
      </c>
      <c r="AA39" s="37">
        <v>5.3232856689541421</v>
      </c>
      <c r="AB39" s="37">
        <v>2.5970922874779858</v>
      </c>
      <c r="AC39" s="37">
        <v>0.8182442586947517</v>
      </c>
      <c r="AD39" s="37">
        <v>2.4545733510799472</v>
      </c>
      <c r="AE39" s="37">
        <v>4.9459799688067418</v>
      </c>
      <c r="AF39" s="37">
        <v>4.9999974493203077</v>
      </c>
      <c r="AG39" s="37">
        <v>4.9999999998841993</v>
      </c>
      <c r="AH39" s="37">
        <v>4.9999999999999947</v>
      </c>
      <c r="AI39" s="37">
        <v>5</v>
      </c>
      <c r="AJ39" s="37">
        <v>5</v>
      </c>
      <c r="AK39" s="37">
        <v>5</v>
      </c>
      <c r="AL39" s="37">
        <v>5</v>
      </c>
      <c r="AM39" s="37">
        <v>5</v>
      </c>
      <c r="AN39" s="37">
        <v>5</v>
      </c>
      <c r="AO39" s="37">
        <v>5</v>
      </c>
      <c r="AP39" s="37">
        <v>5</v>
      </c>
      <c r="AQ39" s="37">
        <v>5</v>
      </c>
    </row>
    <row r="40" spans="2:43" ht="16" x14ac:dyDescent="0.2">
      <c r="B40" s="2">
        <f t="shared" si="6"/>
        <v>4</v>
      </c>
      <c r="C40" s="7">
        <f t="shared" si="7"/>
        <v>0.98201379003790845</v>
      </c>
      <c r="D40" s="3">
        <f t="shared" si="4"/>
        <v>0.28495789429901025</v>
      </c>
      <c r="N40" s="85"/>
      <c r="O40" s="60">
        <f t="shared" si="5"/>
        <v>3.899999999999999</v>
      </c>
      <c r="P40" s="37">
        <v>8</v>
      </c>
      <c r="Q40" s="37">
        <v>8</v>
      </c>
      <c r="R40" s="37">
        <v>8</v>
      </c>
      <c r="S40" s="37">
        <v>8</v>
      </c>
      <c r="T40" s="37">
        <v>8</v>
      </c>
      <c r="U40" s="37">
        <v>8</v>
      </c>
      <c r="V40" s="37">
        <v>8</v>
      </c>
      <c r="W40" s="37">
        <v>7.9999999999996163</v>
      </c>
      <c r="X40" s="37">
        <v>7.9999999915271873</v>
      </c>
      <c r="Y40" s="37">
        <v>7.999813398949799</v>
      </c>
      <c r="Z40" s="37">
        <v>7.0316196006852829</v>
      </c>
      <c r="AA40" s="37">
        <v>4.5221379059458267</v>
      </c>
      <c r="AB40" s="37">
        <v>2.0508472480908675</v>
      </c>
      <c r="AC40" s="37">
        <v>0.53118273351436651</v>
      </c>
      <c r="AD40" s="37">
        <v>2.7173795685718316</v>
      </c>
      <c r="AE40" s="37">
        <v>4.9598771296848385</v>
      </c>
      <c r="AF40" s="37">
        <v>4.9999981240673108</v>
      </c>
      <c r="AG40" s="37">
        <v>4.9999999999148326</v>
      </c>
      <c r="AH40" s="37">
        <v>4.9999999999999964</v>
      </c>
      <c r="AI40" s="37">
        <v>5</v>
      </c>
      <c r="AJ40" s="37">
        <v>5</v>
      </c>
      <c r="AK40" s="37">
        <v>5</v>
      </c>
      <c r="AL40" s="37">
        <v>5</v>
      </c>
      <c r="AM40" s="37">
        <v>5</v>
      </c>
      <c r="AN40" s="37">
        <v>5</v>
      </c>
      <c r="AO40" s="37">
        <v>5</v>
      </c>
      <c r="AP40" s="37">
        <v>5</v>
      </c>
      <c r="AQ40" s="37">
        <v>5</v>
      </c>
    </row>
    <row r="41" spans="2:43" ht="16" x14ac:dyDescent="0.2">
      <c r="B41" s="2">
        <f t="shared" si="6"/>
        <v>4.5</v>
      </c>
      <c r="C41" s="7">
        <f t="shared" si="7"/>
        <v>0.98901305736940681</v>
      </c>
      <c r="D41" s="3">
        <f t="shared" si="4"/>
        <v>0.46008511544443426</v>
      </c>
      <c r="N41" s="85"/>
      <c r="O41" s="60">
        <f t="shared" si="5"/>
        <v>4.1999999999999993</v>
      </c>
      <c r="P41" s="37">
        <v>8</v>
      </c>
      <c r="Q41" s="37">
        <v>8</v>
      </c>
      <c r="R41" s="37">
        <v>8</v>
      </c>
      <c r="S41" s="37">
        <v>8</v>
      </c>
      <c r="T41" s="37">
        <v>8</v>
      </c>
      <c r="U41" s="37">
        <v>8</v>
      </c>
      <c r="V41" s="37">
        <v>7.9999999999999991</v>
      </c>
      <c r="W41" s="37">
        <v>7.9999999999810978</v>
      </c>
      <c r="X41" s="37">
        <v>7.9999995836518281</v>
      </c>
      <c r="Y41" s="37">
        <v>7.9908901642543544</v>
      </c>
      <c r="Z41" s="37">
        <v>6.1171860811118322</v>
      </c>
      <c r="AA41" s="37">
        <v>3.8213470123034488</v>
      </c>
      <c r="AB41" s="37">
        <v>1.9842022944157565</v>
      </c>
      <c r="AC41" s="37">
        <v>0.60834056009400816</v>
      </c>
      <c r="AD41" s="37">
        <v>2.8924729776359488</v>
      </c>
      <c r="AE41" s="37">
        <v>4.9702137789845526</v>
      </c>
      <c r="AF41" s="37">
        <v>4.9999986176763631</v>
      </c>
      <c r="AG41" s="37">
        <v>4.9999999999372422</v>
      </c>
      <c r="AH41" s="37">
        <v>4.9999999999999973</v>
      </c>
      <c r="AI41" s="37">
        <v>5</v>
      </c>
      <c r="AJ41" s="37">
        <v>5</v>
      </c>
      <c r="AK41" s="37">
        <v>5</v>
      </c>
      <c r="AL41" s="37">
        <v>5</v>
      </c>
      <c r="AM41" s="37">
        <v>5</v>
      </c>
      <c r="AN41" s="37">
        <v>5</v>
      </c>
      <c r="AO41" s="37">
        <v>5</v>
      </c>
      <c r="AP41" s="37">
        <v>5</v>
      </c>
      <c r="AQ41" s="37">
        <v>5</v>
      </c>
    </row>
    <row r="42" spans="2:43" ht="16" x14ac:dyDescent="0.2">
      <c r="B42" s="2">
        <f t="shared" si="6"/>
        <v>5</v>
      </c>
      <c r="C42" s="7">
        <f t="shared" si="7"/>
        <v>0.99330714907571516</v>
      </c>
      <c r="D42" s="3">
        <f t="shared" si="4"/>
        <v>0.6456563062257954</v>
      </c>
      <c r="N42" s="85"/>
      <c r="O42" s="60">
        <f t="shared" si="5"/>
        <v>4.4999999999999991</v>
      </c>
      <c r="P42" s="37">
        <v>8</v>
      </c>
      <c r="Q42" s="37">
        <v>8</v>
      </c>
      <c r="R42" s="37">
        <v>8</v>
      </c>
      <c r="S42" s="37">
        <v>8</v>
      </c>
      <c r="T42" s="37">
        <v>8</v>
      </c>
      <c r="U42" s="37">
        <v>8</v>
      </c>
      <c r="V42" s="37">
        <v>7.9999999999999583</v>
      </c>
      <c r="W42" s="37">
        <v>7.9999999990698551</v>
      </c>
      <c r="X42" s="37">
        <v>7.9999795125219499</v>
      </c>
      <c r="Y42" s="37">
        <v>7.6634332023748968</v>
      </c>
      <c r="Z42" s="37">
        <v>5.3742869064205783</v>
      </c>
      <c r="AA42" s="37">
        <v>3.1069282694138458</v>
      </c>
      <c r="AB42" s="37">
        <v>1.9062986356074556</v>
      </c>
      <c r="AC42" s="37">
        <v>0.87400498736982557</v>
      </c>
      <c r="AD42" s="37">
        <v>3.0139027584664335</v>
      </c>
      <c r="AE42" s="37">
        <v>4.9778972810105575</v>
      </c>
      <c r="AF42" s="37">
        <v>4.9999989799739639</v>
      </c>
      <c r="AG42" s="37">
        <v>4.9999999999536913</v>
      </c>
      <c r="AH42" s="37">
        <v>4.9999999999999982</v>
      </c>
      <c r="AI42" s="37">
        <v>5</v>
      </c>
      <c r="AJ42" s="37">
        <v>5</v>
      </c>
      <c r="AK42" s="37">
        <v>5</v>
      </c>
      <c r="AL42" s="37">
        <v>5</v>
      </c>
      <c r="AM42" s="37">
        <v>5</v>
      </c>
      <c r="AN42" s="37">
        <v>5</v>
      </c>
      <c r="AO42" s="37">
        <v>5</v>
      </c>
      <c r="AP42" s="37">
        <v>5</v>
      </c>
      <c r="AQ42" s="37">
        <v>5</v>
      </c>
    </row>
    <row r="43" spans="2:43" ht="16" x14ac:dyDescent="0.2">
      <c r="B43" s="2">
        <f t="shared" si="6"/>
        <v>5.5</v>
      </c>
      <c r="C43" s="7">
        <f t="shared" si="7"/>
        <v>0.99592986228410385</v>
      </c>
      <c r="D43" s="3">
        <f t="shared" si="4"/>
        <v>0.79575969771590815</v>
      </c>
      <c r="N43" s="85"/>
      <c r="O43" s="60">
        <f t="shared" si="5"/>
        <v>4.7999999999999989</v>
      </c>
      <c r="P43" s="37">
        <v>8</v>
      </c>
      <c r="Q43" s="37">
        <v>8</v>
      </c>
      <c r="R43" s="37">
        <v>8</v>
      </c>
      <c r="S43" s="37">
        <v>8</v>
      </c>
      <c r="T43" s="37">
        <v>8</v>
      </c>
      <c r="U43" s="37">
        <v>8</v>
      </c>
      <c r="V43" s="37">
        <v>7.9999999999979199</v>
      </c>
      <c r="W43" s="37">
        <v>7.9999999541820115</v>
      </c>
      <c r="X43" s="37">
        <v>7.9989915425080564</v>
      </c>
      <c r="Y43" s="37">
        <v>6.8459861105132358</v>
      </c>
      <c r="Z43" s="37">
        <v>4.7768476364304195</v>
      </c>
      <c r="AA43" s="37">
        <v>2.6937610866089017</v>
      </c>
      <c r="AB43" s="37">
        <v>1.5856973752316497</v>
      </c>
      <c r="AC43" s="37">
        <v>1.0608040071889011</v>
      </c>
      <c r="AD43" s="37">
        <v>3.1367682113526616</v>
      </c>
      <c r="AE43" s="37">
        <v>4.983604917519159</v>
      </c>
      <c r="AF43" s="37">
        <v>4.999999246539752</v>
      </c>
      <c r="AG43" s="37">
        <v>4.9999999999657927</v>
      </c>
      <c r="AH43" s="37">
        <v>4.9999999999999982</v>
      </c>
      <c r="AI43" s="37">
        <v>5</v>
      </c>
      <c r="AJ43" s="37">
        <v>5</v>
      </c>
      <c r="AK43" s="37">
        <v>5</v>
      </c>
      <c r="AL43" s="37">
        <v>5</v>
      </c>
      <c r="AM43" s="37">
        <v>5</v>
      </c>
      <c r="AN43" s="37">
        <v>5</v>
      </c>
      <c r="AO43" s="37">
        <v>5</v>
      </c>
      <c r="AP43" s="37">
        <v>5</v>
      </c>
      <c r="AQ43" s="37">
        <v>5</v>
      </c>
    </row>
    <row r="44" spans="2:43" ht="16" x14ac:dyDescent="0.2">
      <c r="B44" s="2">
        <f t="shared" si="6"/>
        <v>6</v>
      </c>
      <c r="C44" s="7">
        <f t="shared" si="7"/>
        <v>0.99752737684336523</v>
      </c>
      <c r="D44" s="3">
        <f t="shared" si="4"/>
        <v>0.8928319295134719</v>
      </c>
      <c r="N44" s="85"/>
      <c r="O44" s="60">
        <f t="shared" si="5"/>
        <v>5.0999999999999988</v>
      </c>
      <c r="P44" s="37">
        <v>8</v>
      </c>
      <c r="Q44" s="37">
        <v>8</v>
      </c>
      <c r="R44" s="37">
        <v>8</v>
      </c>
      <c r="S44" s="37">
        <v>8</v>
      </c>
      <c r="T44" s="37">
        <v>8</v>
      </c>
      <c r="U44" s="37">
        <v>7.9999999999999956</v>
      </c>
      <c r="V44" s="37">
        <v>7.9999999998974562</v>
      </c>
      <c r="W44" s="37">
        <v>7.9999977413405521</v>
      </c>
      <c r="X44" s="37">
        <v>7.9520248230901336</v>
      </c>
      <c r="Y44" s="37">
        <v>6.0140488738874538</v>
      </c>
      <c r="Z44" s="37">
        <v>4.039793213286333</v>
      </c>
      <c r="AA44" s="37">
        <v>2.0959568499427808</v>
      </c>
      <c r="AB44" s="37">
        <v>1.1038269988759672</v>
      </c>
      <c r="AC44" s="37">
        <v>1.3504010142292171</v>
      </c>
      <c r="AD44" s="37">
        <v>3.2924018920367226</v>
      </c>
      <c r="AE44" s="37">
        <v>4.9878423257022897</v>
      </c>
      <c r="AF44" s="37">
        <v>4.9999994430207355</v>
      </c>
      <c r="AG44" s="37">
        <v>4.9999999999747136</v>
      </c>
      <c r="AH44" s="37">
        <v>4.9999999999999991</v>
      </c>
      <c r="AI44" s="37">
        <v>5</v>
      </c>
      <c r="AJ44" s="37">
        <v>5</v>
      </c>
      <c r="AK44" s="37">
        <v>5</v>
      </c>
      <c r="AL44" s="37">
        <v>5</v>
      </c>
      <c r="AM44" s="37">
        <v>5</v>
      </c>
      <c r="AN44" s="37">
        <v>5</v>
      </c>
      <c r="AO44" s="37">
        <v>5</v>
      </c>
      <c r="AP44" s="37">
        <v>5</v>
      </c>
      <c r="AQ44" s="37">
        <v>5</v>
      </c>
    </row>
    <row r="45" spans="2:43" ht="16" x14ac:dyDescent="0.2">
      <c r="B45" s="2">
        <f t="shared" si="6"/>
        <v>6.5</v>
      </c>
      <c r="C45" s="7">
        <f t="shared" si="7"/>
        <v>0.99849881774326299</v>
      </c>
      <c r="D45" s="3">
        <f t="shared" si="4"/>
        <v>0.94684886360193632</v>
      </c>
      <c r="N45" s="85"/>
      <c r="O45" s="60">
        <f t="shared" si="5"/>
        <v>5.3999999999999986</v>
      </c>
      <c r="P45" s="37">
        <v>8</v>
      </c>
      <c r="Q45" s="37">
        <v>8</v>
      </c>
      <c r="R45" s="37">
        <v>8</v>
      </c>
      <c r="S45" s="37">
        <v>8</v>
      </c>
      <c r="T45" s="37">
        <v>8</v>
      </c>
      <c r="U45" s="37">
        <v>7.9999999999997708</v>
      </c>
      <c r="V45" s="37">
        <v>7.9999999949421587</v>
      </c>
      <c r="W45" s="37">
        <v>7.9998886028493716</v>
      </c>
      <c r="X45" s="37">
        <v>7.191656875403825</v>
      </c>
      <c r="Y45" s="37">
        <v>5.4119770705441415</v>
      </c>
      <c r="Z45" s="37">
        <v>3.6415986216785972</v>
      </c>
      <c r="AA45" s="37">
        <v>2.0005293150739614</v>
      </c>
      <c r="AB45" s="37">
        <v>0.91656442852728326</v>
      </c>
      <c r="AC45" s="37">
        <v>1.6909129510824679</v>
      </c>
      <c r="AD45" s="37">
        <v>3.4720988693901225</v>
      </c>
      <c r="AE45" s="37">
        <v>4.9909866872839883</v>
      </c>
      <c r="AF45" s="37">
        <v>4.9999995880345347</v>
      </c>
      <c r="AG45" s="37">
        <v>4.9999999999812967</v>
      </c>
      <c r="AH45" s="37">
        <v>4.9999999999999991</v>
      </c>
      <c r="AI45" s="37">
        <v>5</v>
      </c>
      <c r="AJ45" s="37">
        <v>5</v>
      </c>
      <c r="AK45" s="37">
        <v>5</v>
      </c>
      <c r="AL45" s="37">
        <v>5</v>
      </c>
      <c r="AM45" s="37">
        <v>5</v>
      </c>
      <c r="AN45" s="37">
        <v>5</v>
      </c>
      <c r="AO45" s="37">
        <v>5</v>
      </c>
      <c r="AP45" s="37">
        <v>5</v>
      </c>
      <c r="AQ45" s="37">
        <v>5</v>
      </c>
    </row>
    <row r="46" spans="2:43" ht="16" x14ac:dyDescent="0.2">
      <c r="B46" s="2">
        <f t="shared" si="6"/>
        <v>7</v>
      </c>
      <c r="C46" s="7">
        <f t="shared" si="7"/>
        <v>0.9990889488055994</v>
      </c>
      <c r="D46" s="3">
        <f t="shared" si="4"/>
        <v>0.97441921168799228</v>
      </c>
      <c r="N46" s="85"/>
      <c r="O46" s="60">
        <f t="shared" si="5"/>
        <v>5.6999999999999984</v>
      </c>
      <c r="P46" s="37">
        <v>8</v>
      </c>
      <c r="Q46" s="37">
        <v>8</v>
      </c>
      <c r="R46" s="37">
        <v>8</v>
      </c>
      <c r="S46" s="37">
        <v>8</v>
      </c>
      <c r="T46" s="37">
        <v>8</v>
      </c>
      <c r="U46" s="37">
        <v>7.9999999999886704</v>
      </c>
      <c r="V46" s="37">
        <v>7.9999997504237674</v>
      </c>
      <c r="W46" s="37">
        <v>7.9945251486154154</v>
      </c>
      <c r="X46" s="37">
        <v>6.6911661191419851</v>
      </c>
      <c r="Y46" s="37">
        <v>4.9110289580274546</v>
      </c>
      <c r="Z46" s="37">
        <v>3.02175743765729</v>
      </c>
      <c r="AA46" s="37">
        <v>1.9939655921876895</v>
      </c>
      <c r="AB46" s="37">
        <v>0.70192592443709889</v>
      </c>
      <c r="AC46" s="37">
        <v>1.8909509661787904</v>
      </c>
      <c r="AD46" s="37">
        <v>3.6420244909379802</v>
      </c>
      <c r="AE46" s="37">
        <v>4.9933190405603538</v>
      </c>
      <c r="AF46" s="37">
        <v>4.999999695166915</v>
      </c>
      <c r="AG46" s="37">
        <v>4.9999999999861604</v>
      </c>
      <c r="AH46" s="37">
        <v>4.9999999999999991</v>
      </c>
      <c r="AI46" s="37">
        <v>5</v>
      </c>
      <c r="AJ46" s="37">
        <v>5</v>
      </c>
      <c r="AK46" s="37">
        <v>5</v>
      </c>
      <c r="AL46" s="37">
        <v>5</v>
      </c>
      <c r="AM46" s="37">
        <v>5</v>
      </c>
      <c r="AN46" s="37">
        <v>5</v>
      </c>
      <c r="AO46" s="37">
        <v>5</v>
      </c>
      <c r="AP46" s="37">
        <v>5</v>
      </c>
      <c r="AQ46" s="37">
        <v>5</v>
      </c>
    </row>
    <row r="47" spans="2:43" ht="16" x14ac:dyDescent="0.2">
      <c r="B47" s="2">
        <f t="shared" si="6"/>
        <v>7.5</v>
      </c>
      <c r="C47" s="7">
        <f t="shared" si="7"/>
        <v>0.9994472213630764</v>
      </c>
      <c r="D47" s="3">
        <f t="shared" si="4"/>
        <v>0.98787156501572582</v>
      </c>
      <c r="N47" s="85"/>
      <c r="O47" s="60">
        <f t="shared" si="5"/>
        <v>5.9999999999999982</v>
      </c>
      <c r="P47" s="37">
        <v>8</v>
      </c>
      <c r="Q47" s="37">
        <v>8</v>
      </c>
      <c r="R47" s="37">
        <v>8</v>
      </c>
      <c r="S47" s="37">
        <v>8</v>
      </c>
      <c r="T47" s="37">
        <v>7.9999999999999751</v>
      </c>
      <c r="U47" s="37">
        <v>7.9999999994407203</v>
      </c>
      <c r="V47" s="37">
        <v>7.9999876811528967</v>
      </c>
      <c r="W47" s="37">
        <v>7.7751312375852439</v>
      </c>
      <c r="X47" s="37">
        <v>5.9784695135982924</v>
      </c>
      <c r="Y47" s="37">
        <v>4.2450546930678907</v>
      </c>
      <c r="Z47" s="37">
        <v>2.7761253312064875</v>
      </c>
      <c r="AA47" s="37">
        <v>1.96426040466956</v>
      </c>
      <c r="AB47" s="37">
        <v>0.50001222776830079</v>
      </c>
      <c r="AC47" s="37">
        <v>1.9784697412881704</v>
      </c>
      <c r="AD47" s="37">
        <v>3.7754547413442818</v>
      </c>
      <c r="AE47" s="37">
        <v>4.9950485487049034</v>
      </c>
      <c r="AF47" s="37">
        <v>4.9999997743704085</v>
      </c>
      <c r="AG47" s="37">
        <v>4.9999999999897566</v>
      </c>
      <c r="AH47" s="37">
        <v>5</v>
      </c>
      <c r="AI47" s="37">
        <v>5</v>
      </c>
      <c r="AJ47" s="37">
        <v>5</v>
      </c>
      <c r="AK47" s="37">
        <v>5</v>
      </c>
      <c r="AL47" s="37">
        <v>5</v>
      </c>
      <c r="AM47" s="37">
        <v>5</v>
      </c>
      <c r="AN47" s="37">
        <v>5</v>
      </c>
      <c r="AO47" s="37">
        <v>5</v>
      </c>
      <c r="AP47" s="37">
        <v>5</v>
      </c>
      <c r="AQ47" s="37">
        <v>5</v>
      </c>
    </row>
    <row r="48" spans="2:43" ht="16" x14ac:dyDescent="0.2">
      <c r="B48" s="2">
        <f t="shared" si="6"/>
        <v>8</v>
      </c>
      <c r="C48" s="7">
        <f t="shared" si="7"/>
        <v>0.99966464986953352</v>
      </c>
      <c r="D48" s="3">
        <f t="shared" si="4"/>
        <v>0.99429107922297666</v>
      </c>
      <c r="N48" s="85"/>
      <c r="O48" s="60">
        <f t="shared" si="5"/>
        <v>6.299999999999998</v>
      </c>
      <c r="P48" s="37">
        <v>8</v>
      </c>
      <c r="Q48" s="37">
        <v>8</v>
      </c>
      <c r="R48" s="37">
        <v>8</v>
      </c>
      <c r="S48" s="37">
        <v>8</v>
      </c>
      <c r="T48" s="37">
        <v>7.9999999999987468</v>
      </c>
      <c r="U48" s="37">
        <v>7.9999999723879851</v>
      </c>
      <c r="V48" s="37">
        <v>7.9993920811893933</v>
      </c>
      <c r="W48" s="37">
        <v>6.9927732727655663</v>
      </c>
      <c r="X48" s="37">
        <v>5.4446638450424985</v>
      </c>
      <c r="Y48" s="37">
        <v>3.9322367085942607</v>
      </c>
      <c r="Z48" s="37">
        <v>2.161043026261904</v>
      </c>
      <c r="AA48" s="37">
        <v>1.8100424115754306</v>
      </c>
      <c r="AB48" s="37">
        <v>0.7017738914008016</v>
      </c>
      <c r="AC48" s="37">
        <v>2.0514076299321986</v>
      </c>
      <c r="AD48" s="37">
        <v>3.8668121697631781</v>
      </c>
      <c r="AE48" s="37">
        <v>4.9963307253769464</v>
      </c>
      <c r="AF48" s="37">
        <v>4.9999998329570632</v>
      </c>
      <c r="AG48" s="37">
        <v>4.9999999999924167</v>
      </c>
      <c r="AH48" s="37">
        <v>5</v>
      </c>
      <c r="AI48" s="37">
        <v>5</v>
      </c>
      <c r="AJ48" s="37">
        <v>5</v>
      </c>
      <c r="AK48" s="37">
        <v>5</v>
      </c>
      <c r="AL48" s="37">
        <v>5</v>
      </c>
      <c r="AM48" s="37">
        <v>5</v>
      </c>
      <c r="AN48" s="37">
        <v>5</v>
      </c>
      <c r="AO48" s="37">
        <v>5</v>
      </c>
      <c r="AP48" s="37">
        <v>5</v>
      </c>
      <c r="AQ48" s="37">
        <v>5</v>
      </c>
    </row>
    <row r="49" spans="2:43" ht="16" x14ac:dyDescent="0.2">
      <c r="B49" s="2">
        <f t="shared" si="6"/>
        <v>8.5</v>
      </c>
      <c r="C49" s="7">
        <f t="shared" si="7"/>
        <v>0.9997965730219448</v>
      </c>
      <c r="D49" s="3">
        <f t="shared" si="4"/>
        <v>0.99732199081378692</v>
      </c>
      <c r="N49" s="85"/>
      <c r="O49" s="60">
        <f t="shared" si="5"/>
        <v>6.5999999999999979</v>
      </c>
      <c r="P49" s="37">
        <v>8</v>
      </c>
      <c r="Q49" s="37">
        <v>8</v>
      </c>
      <c r="R49" s="37">
        <v>8</v>
      </c>
      <c r="S49" s="37">
        <v>7.9999999999999973</v>
      </c>
      <c r="T49" s="37">
        <v>7.9999999999380993</v>
      </c>
      <c r="U49" s="37">
        <v>7.9999986365503259</v>
      </c>
      <c r="V49" s="37">
        <v>7.9706293552902228</v>
      </c>
      <c r="W49" s="37">
        <v>6.4748508445783468</v>
      </c>
      <c r="X49" s="37">
        <v>4.9690813172519972</v>
      </c>
      <c r="Y49" s="37">
        <v>3.4153866757701135</v>
      </c>
      <c r="Z49" s="37">
        <v>2.0032251229981672</v>
      </c>
      <c r="AA49" s="37">
        <v>1.3566064720198439</v>
      </c>
      <c r="AB49" s="37">
        <v>0.91035408657359529</v>
      </c>
      <c r="AC49" s="37">
        <v>2.1993312965366778</v>
      </c>
      <c r="AD49" s="37">
        <v>3.9241344602394581</v>
      </c>
      <c r="AE49" s="37">
        <v>4.9972810994416204</v>
      </c>
      <c r="AF49" s="37">
        <v>4.9999998763105218</v>
      </c>
      <c r="AG49" s="37">
        <v>4.9999999999943849</v>
      </c>
      <c r="AH49" s="37">
        <v>5</v>
      </c>
      <c r="AI49" s="37">
        <v>5</v>
      </c>
      <c r="AJ49" s="37">
        <v>5</v>
      </c>
      <c r="AK49" s="37">
        <v>5</v>
      </c>
      <c r="AL49" s="37">
        <v>5</v>
      </c>
      <c r="AM49" s="37">
        <v>5</v>
      </c>
      <c r="AN49" s="37">
        <v>5</v>
      </c>
      <c r="AO49" s="37">
        <v>5</v>
      </c>
      <c r="AP49" s="37">
        <v>5</v>
      </c>
      <c r="AQ49" s="37">
        <v>5</v>
      </c>
    </row>
    <row r="50" spans="2:43" ht="16" x14ac:dyDescent="0.2">
      <c r="B50" s="2">
        <f t="shared" si="6"/>
        <v>9</v>
      </c>
      <c r="C50" s="7">
        <f t="shared" si="7"/>
        <v>0.9998766054240138</v>
      </c>
      <c r="D50" s="3">
        <f t="shared" si="4"/>
        <v>0.99874579702790311</v>
      </c>
      <c r="N50" s="85"/>
      <c r="O50" s="60">
        <f t="shared" si="5"/>
        <v>6.8999999999999977</v>
      </c>
      <c r="P50" s="37">
        <v>8</v>
      </c>
      <c r="Q50" s="37">
        <v>8</v>
      </c>
      <c r="R50" s="37">
        <v>8</v>
      </c>
      <c r="S50" s="37">
        <v>7.9999999999998614</v>
      </c>
      <c r="T50" s="37">
        <v>7.9999999969430391</v>
      </c>
      <c r="U50" s="37">
        <v>7.9999326693447612</v>
      </c>
      <c r="V50" s="37">
        <v>7.328491197699325</v>
      </c>
      <c r="W50" s="37">
        <v>5.9709134013784215</v>
      </c>
      <c r="X50" s="37">
        <v>4.5337122868132047</v>
      </c>
      <c r="Y50" s="37">
        <v>2.9956436001491085</v>
      </c>
      <c r="Z50" s="37">
        <v>1.9996616185009266</v>
      </c>
      <c r="AA50" s="37">
        <v>1.0310240705730904</v>
      </c>
      <c r="AB50" s="37">
        <v>0.98518524647982586</v>
      </c>
      <c r="AC50" s="37">
        <v>2.4454778400945969</v>
      </c>
      <c r="AD50" s="37">
        <v>3.9585293497363123</v>
      </c>
      <c r="AE50" s="37">
        <v>4.9979854386383238</v>
      </c>
      <c r="AF50" s="37">
        <v>4.9999999084009188</v>
      </c>
      <c r="AG50" s="37">
        <v>4.9999999999958415</v>
      </c>
      <c r="AH50" s="37">
        <v>5</v>
      </c>
      <c r="AI50" s="37">
        <v>5</v>
      </c>
      <c r="AJ50" s="37">
        <v>5</v>
      </c>
      <c r="AK50" s="37">
        <v>5</v>
      </c>
      <c r="AL50" s="37">
        <v>5</v>
      </c>
      <c r="AM50" s="37">
        <v>5</v>
      </c>
      <c r="AN50" s="37">
        <v>5</v>
      </c>
      <c r="AO50" s="37">
        <v>5</v>
      </c>
      <c r="AP50" s="37">
        <v>5</v>
      </c>
      <c r="AQ50" s="37">
        <v>5</v>
      </c>
    </row>
    <row r="51" spans="2:43" ht="16" x14ac:dyDescent="0.2">
      <c r="B51" s="2">
        <f t="shared" si="6"/>
        <v>9.5</v>
      </c>
      <c r="C51" s="7">
        <f t="shared" si="7"/>
        <v>0.99992515377248936</v>
      </c>
      <c r="D51" s="3">
        <f t="shared" si="4"/>
        <v>0.99941305950391923</v>
      </c>
      <c r="N51" s="85"/>
      <c r="O51" s="60">
        <f t="shared" si="5"/>
        <v>7.1999999999999975</v>
      </c>
      <c r="P51" s="37">
        <v>8</v>
      </c>
      <c r="Q51" s="37">
        <v>8</v>
      </c>
      <c r="R51" s="37">
        <v>8</v>
      </c>
      <c r="S51" s="37">
        <v>7.999999999993145</v>
      </c>
      <c r="T51" s="37">
        <v>7.9999998490181286</v>
      </c>
      <c r="U51" s="37">
        <v>7.9966826666214761</v>
      </c>
      <c r="V51" s="37">
        <v>6.9481799847397712</v>
      </c>
      <c r="W51" s="37">
        <v>5.4753964471516117</v>
      </c>
      <c r="X51" s="37">
        <v>4.0032586113711073</v>
      </c>
      <c r="Y51" s="37">
        <v>2.840638830853687</v>
      </c>
      <c r="Z51" s="37">
        <v>1.9977747528173186</v>
      </c>
      <c r="AA51" s="37">
        <v>0.9662085416025904</v>
      </c>
      <c r="AB51" s="37">
        <v>1.0486478078174888</v>
      </c>
      <c r="AC51" s="37">
        <v>2.6919665437593139</v>
      </c>
      <c r="AD51" s="37">
        <v>3.9791579444889189</v>
      </c>
      <c r="AE51" s="37">
        <v>4.99850738327864</v>
      </c>
      <c r="AF51" s="37">
        <v>4.9999999321594686</v>
      </c>
      <c r="AG51" s="37">
        <v>4.9999999999969198</v>
      </c>
      <c r="AH51" s="37">
        <v>5</v>
      </c>
      <c r="AI51" s="37">
        <v>5</v>
      </c>
      <c r="AJ51" s="37">
        <v>5</v>
      </c>
      <c r="AK51" s="37">
        <v>5</v>
      </c>
      <c r="AL51" s="37">
        <v>5</v>
      </c>
      <c r="AM51" s="37">
        <v>5</v>
      </c>
      <c r="AN51" s="37">
        <v>5</v>
      </c>
      <c r="AO51" s="37">
        <v>5</v>
      </c>
      <c r="AP51" s="37">
        <v>5</v>
      </c>
      <c r="AQ51" s="37">
        <v>5</v>
      </c>
    </row>
    <row r="52" spans="2:43" ht="16" x14ac:dyDescent="0.2">
      <c r="B52" s="2">
        <f t="shared" si="6"/>
        <v>10</v>
      </c>
      <c r="C52" s="7">
        <f t="shared" si="7"/>
        <v>0.99995460213129761</v>
      </c>
      <c r="D52" s="3">
        <f t="shared" si="4"/>
        <v>0.99972542184389868</v>
      </c>
      <c r="N52" s="85"/>
      <c r="O52" s="60">
        <f t="shared" si="5"/>
        <v>7.4999999999999973</v>
      </c>
      <c r="P52" s="37">
        <v>8</v>
      </c>
      <c r="Q52" s="37">
        <v>8</v>
      </c>
      <c r="R52" s="37">
        <v>7.9999999999999849</v>
      </c>
      <c r="S52" s="37">
        <v>7.9999999996614335</v>
      </c>
      <c r="T52" s="37">
        <v>7.9999925426107312</v>
      </c>
      <c r="U52" s="37">
        <v>7.8539472595094413</v>
      </c>
      <c r="V52" s="37">
        <v>6.2488944417116752</v>
      </c>
      <c r="W52" s="37">
        <v>4.9924061005550389</v>
      </c>
      <c r="X52" s="37">
        <v>3.8539921039968053</v>
      </c>
      <c r="Y52" s="37">
        <v>2.2499996934215809</v>
      </c>
      <c r="Z52" s="37">
        <v>1.9866516412150999</v>
      </c>
      <c r="AA52" s="37">
        <v>0.8598373632242472</v>
      </c>
      <c r="AB52" s="37">
        <v>1.2488953594190018</v>
      </c>
      <c r="AC52" s="37">
        <v>2.8539920538046113</v>
      </c>
      <c r="AD52" s="37">
        <v>3.9924060984917928</v>
      </c>
      <c r="AE52" s="37">
        <v>4.998894136147447</v>
      </c>
      <c r="AF52" s="37">
        <v>4.9999999497522278</v>
      </c>
      <c r="AG52" s="37">
        <v>4.9999999999977192</v>
      </c>
      <c r="AH52" s="37">
        <v>5</v>
      </c>
      <c r="AI52" s="37">
        <v>5</v>
      </c>
      <c r="AJ52" s="37">
        <v>5</v>
      </c>
      <c r="AK52" s="37">
        <v>5</v>
      </c>
      <c r="AL52" s="37">
        <v>5</v>
      </c>
      <c r="AM52" s="37">
        <v>5</v>
      </c>
      <c r="AN52" s="37">
        <v>5</v>
      </c>
      <c r="AO52" s="37">
        <v>5</v>
      </c>
      <c r="AP52" s="37">
        <v>5</v>
      </c>
      <c r="AQ52" s="37">
        <v>5</v>
      </c>
    </row>
    <row r="53" spans="2:43" ht="16" x14ac:dyDescent="0.2">
      <c r="B53" s="2">
        <f t="shared" si="6"/>
        <v>10.5</v>
      </c>
      <c r="C53" s="7">
        <f t="shared" si="7"/>
        <v>0.99997246430888542</v>
      </c>
      <c r="D53" s="3">
        <f t="shared" si="4"/>
        <v>0.99987157024258677</v>
      </c>
      <c r="N53" s="85"/>
      <c r="O53" s="60">
        <f t="shared" si="5"/>
        <v>7.7999999999999972</v>
      </c>
      <c r="P53" s="37">
        <v>8</v>
      </c>
      <c r="Q53" s="37">
        <v>8</v>
      </c>
      <c r="R53" s="37">
        <v>7.9999999999992415</v>
      </c>
      <c r="S53" s="37">
        <v>7.9999999832763677</v>
      </c>
      <c r="T53" s="37">
        <v>7.9996317391415479</v>
      </c>
      <c r="U53" s="37">
        <v>7.0358150012534812</v>
      </c>
      <c r="V53" s="37">
        <v>5.9713653154700781</v>
      </c>
      <c r="W53" s="37">
        <v>4.7757016639971974</v>
      </c>
      <c r="X53" s="37">
        <v>3.2016493902542824</v>
      </c>
      <c r="Y53" s="37">
        <v>2.0069139961149678</v>
      </c>
      <c r="Z53" s="37">
        <v>1.9231691059798073</v>
      </c>
      <c r="AA53" s="37">
        <v>0.6067773939670793</v>
      </c>
      <c r="AB53" s="37">
        <v>1.5903854297294482</v>
      </c>
      <c r="AC53" s="37">
        <v>2.9365718075668767</v>
      </c>
      <c r="AD53" s="37">
        <v>4.0025922223809198</v>
      </c>
      <c r="AE53" s="37">
        <v>4.9991806975122373</v>
      </c>
      <c r="AF53" s="37">
        <v>4.9999999627808727</v>
      </c>
      <c r="AG53" s="37">
        <v>4.9999999999983107</v>
      </c>
      <c r="AH53" s="37">
        <v>5</v>
      </c>
      <c r="AI53" s="37">
        <v>5</v>
      </c>
      <c r="AJ53" s="37">
        <v>5</v>
      </c>
      <c r="AK53" s="37">
        <v>5</v>
      </c>
      <c r="AL53" s="37">
        <v>5</v>
      </c>
      <c r="AM53" s="37">
        <v>5</v>
      </c>
      <c r="AN53" s="37">
        <v>5</v>
      </c>
      <c r="AO53" s="37">
        <v>5</v>
      </c>
      <c r="AP53" s="37">
        <v>5</v>
      </c>
      <c r="AQ53" s="37">
        <v>5</v>
      </c>
    </row>
    <row r="54" spans="2:43" ht="16" x14ac:dyDescent="0.2">
      <c r="B54" s="2">
        <f t="shared" si="6"/>
        <v>11</v>
      </c>
      <c r="C54" s="7">
        <f t="shared" si="7"/>
        <v>0.99998329857815194</v>
      </c>
      <c r="D54" s="3">
        <f t="shared" si="4"/>
        <v>0.99993993360764144</v>
      </c>
      <c r="N54" s="85"/>
      <c r="O54" s="60">
        <f t="shared" si="5"/>
        <v>8.0999999999999979</v>
      </c>
      <c r="P54" s="37">
        <v>8</v>
      </c>
      <c r="Q54" s="37">
        <v>7.9999999999999982</v>
      </c>
      <c r="R54" s="37">
        <v>7.9999999999624949</v>
      </c>
      <c r="S54" s="37">
        <v>7.9999991738998748</v>
      </c>
      <c r="T54" s="37">
        <v>7.982049119048118</v>
      </c>
      <c r="U54" s="37">
        <v>6.8886254518084886</v>
      </c>
      <c r="V54" s="37">
        <v>5.5052029029739202</v>
      </c>
      <c r="W54" s="37">
        <v>4.0706808299951209</v>
      </c>
      <c r="X54" s="37">
        <v>2.9917774950805684</v>
      </c>
      <c r="Y54" s="37">
        <v>2.0000442301838612</v>
      </c>
      <c r="Z54" s="37">
        <v>1.6433493098120049</v>
      </c>
      <c r="AA54" s="37">
        <v>0.52999285968044618</v>
      </c>
      <c r="AB54" s="37">
        <v>1.8405283555292329</v>
      </c>
      <c r="AC54" s="37">
        <v>2.9738759243506516</v>
      </c>
      <c r="AD54" s="37">
        <v>4.0128804438494505</v>
      </c>
      <c r="AE54" s="37">
        <v>4.9993930136921003</v>
      </c>
      <c r="AF54" s="37">
        <v>4.999999972430321</v>
      </c>
      <c r="AG54" s="37">
        <v>4.9999999999987486</v>
      </c>
      <c r="AH54" s="37">
        <v>5</v>
      </c>
      <c r="AI54" s="37">
        <v>5</v>
      </c>
      <c r="AJ54" s="37">
        <v>5</v>
      </c>
      <c r="AK54" s="37">
        <v>5</v>
      </c>
      <c r="AL54" s="37">
        <v>5</v>
      </c>
      <c r="AM54" s="37">
        <v>5</v>
      </c>
      <c r="AN54" s="37">
        <v>5</v>
      </c>
      <c r="AO54" s="37">
        <v>5</v>
      </c>
      <c r="AP54" s="37">
        <v>5</v>
      </c>
      <c r="AQ54" s="37">
        <v>5</v>
      </c>
    </row>
    <row r="55" spans="2:43" ht="16" x14ac:dyDescent="0.2">
      <c r="B55" s="2">
        <f t="shared" si="6"/>
        <v>11.5</v>
      </c>
      <c r="C55" s="7">
        <f t="shared" si="7"/>
        <v>0.99998987000901918</v>
      </c>
      <c r="D55" s="3">
        <f t="shared" si="4"/>
        <v>0.9999719080666527</v>
      </c>
      <c r="N55" s="85"/>
      <c r="O55" s="60">
        <f t="shared" si="5"/>
        <v>8.3999999999999986</v>
      </c>
      <c r="P55" s="37">
        <v>8</v>
      </c>
      <c r="Q55" s="37">
        <v>7.9999999999999156</v>
      </c>
      <c r="R55" s="37">
        <v>7.9999999981473113</v>
      </c>
      <c r="S55" s="37">
        <v>7.9999591930651359</v>
      </c>
      <c r="T55" s="37">
        <v>7.4758626909752648</v>
      </c>
      <c r="U55" s="37">
        <v>6.0951154554250477</v>
      </c>
      <c r="V55" s="37">
        <v>5.001977450379715</v>
      </c>
      <c r="W55" s="37">
        <v>3.976208211209824</v>
      </c>
      <c r="X55" s="37">
        <v>2.8886512768179333</v>
      </c>
      <c r="Y55" s="37">
        <v>1.9998650823864115</v>
      </c>
      <c r="Z55" s="37">
        <v>1.1603811188045141</v>
      </c>
      <c r="AA55" s="37">
        <v>0.79001558174022879</v>
      </c>
      <c r="AB55" s="37">
        <v>1.9475677522111483</v>
      </c>
      <c r="AC55" s="37">
        <v>2.9905889740594853</v>
      </c>
      <c r="AD55" s="37">
        <v>4.0259934875879697</v>
      </c>
      <c r="AE55" s="37">
        <v>4.9995503158487482</v>
      </c>
      <c r="AF55" s="37">
        <v>4.9999999795774865</v>
      </c>
      <c r="AG55" s="37">
        <v>4.9999999999990727</v>
      </c>
      <c r="AH55" s="37">
        <v>5</v>
      </c>
      <c r="AI55" s="37">
        <v>5</v>
      </c>
      <c r="AJ55" s="37">
        <v>5</v>
      </c>
      <c r="AK55" s="37">
        <v>5</v>
      </c>
      <c r="AL55" s="37">
        <v>5</v>
      </c>
      <c r="AM55" s="37">
        <v>5</v>
      </c>
      <c r="AN55" s="37">
        <v>5</v>
      </c>
      <c r="AO55" s="37">
        <v>5</v>
      </c>
      <c r="AP55" s="37">
        <v>5</v>
      </c>
      <c r="AQ55" s="37">
        <v>5</v>
      </c>
    </row>
    <row r="56" spans="2:43" ht="16" x14ac:dyDescent="0.2">
      <c r="B56" s="2">
        <f t="shared" si="6"/>
        <v>12</v>
      </c>
      <c r="C56" s="7">
        <f t="shared" si="7"/>
        <v>0.99999385582539779</v>
      </c>
      <c r="D56" s="3">
        <f t="shared" si="4"/>
        <v>0.99998686214943655</v>
      </c>
      <c r="N56" s="85"/>
      <c r="O56" s="60">
        <f t="shared" si="5"/>
        <v>8.6999999999999993</v>
      </c>
      <c r="P56" s="37">
        <v>8</v>
      </c>
      <c r="Q56" s="37">
        <v>7.9999999999958451</v>
      </c>
      <c r="R56" s="37">
        <v>7.9999999084779843</v>
      </c>
      <c r="S56" s="37">
        <v>7.997987136125948</v>
      </c>
      <c r="T56" s="37">
        <v>6.9945020970259346</v>
      </c>
      <c r="U56" s="37">
        <v>5.9735479514562568</v>
      </c>
      <c r="V56" s="37">
        <v>4.9073919978363838</v>
      </c>
      <c r="W56" s="37">
        <v>3.7148689557751489</v>
      </c>
      <c r="X56" s="37">
        <v>2.358426938890779</v>
      </c>
      <c r="Y56" s="37">
        <v>1.9991809014898023</v>
      </c>
      <c r="Z56" s="37">
        <v>1.0069523026625411</v>
      </c>
      <c r="AA56" s="37">
        <v>0.94312405174229264</v>
      </c>
      <c r="AB56" s="37">
        <v>1.9841323810938478</v>
      </c>
      <c r="AC56" s="37">
        <v>3.0003086848601699</v>
      </c>
      <c r="AD56" s="37">
        <v>4.0446450652571304</v>
      </c>
      <c r="AE56" s="37">
        <v>4.9996668561011246</v>
      </c>
      <c r="AF56" s="37">
        <v>4.9999999848715113</v>
      </c>
      <c r="AG56" s="37">
        <v>4.9999999999993125</v>
      </c>
      <c r="AH56" s="37">
        <v>5</v>
      </c>
      <c r="AI56" s="37">
        <v>5</v>
      </c>
      <c r="AJ56" s="37">
        <v>5</v>
      </c>
      <c r="AK56" s="37">
        <v>5</v>
      </c>
      <c r="AL56" s="37">
        <v>5</v>
      </c>
      <c r="AM56" s="37">
        <v>5</v>
      </c>
      <c r="AN56" s="37">
        <v>5</v>
      </c>
      <c r="AO56" s="37">
        <v>5</v>
      </c>
      <c r="AP56" s="37">
        <v>5</v>
      </c>
      <c r="AQ56" s="37">
        <v>5</v>
      </c>
    </row>
    <row r="57" spans="2:43" ht="16" x14ac:dyDescent="0.2">
      <c r="B57" s="2">
        <f t="shared" si="6"/>
        <v>12.5</v>
      </c>
      <c r="C57" s="7">
        <f t="shared" si="7"/>
        <v>0.99999627336071584</v>
      </c>
      <c r="D57" s="3">
        <f t="shared" si="4"/>
        <v>0.99999385582539779</v>
      </c>
      <c r="N57" s="85"/>
      <c r="O57" s="60">
        <f t="shared" si="5"/>
        <v>9</v>
      </c>
      <c r="P57" s="37">
        <v>7.9999999999999911</v>
      </c>
      <c r="Q57" s="37">
        <v>7.9999999997947375</v>
      </c>
      <c r="R57" s="37">
        <v>7.9999954787985503</v>
      </c>
      <c r="S57" s="37">
        <v>7.9073851772633681</v>
      </c>
      <c r="T57" s="37">
        <v>6.7757709159010799</v>
      </c>
      <c r="U57" s="37">
        <v>5.5343559529648205</v>
      </c>
      <c r="V57" s="37">
        <v>4.2497532108405114</v>
      </c>
      <c r="W57" s="37">
        <v>3.0716589023780374</v>
      </c>
      <c r="X57" s="37">
        <v>2.0142091117994609</v>
      </c>
      <c r="Y57" s="37">
        <v>1.9950602557854893</v>
      </c>
      <c r="Z57" s="37">
        <v>0.98702739040791154</v>
      </c>
      <c r="AA57" s="37">
        <v>0.98702739041302068</v>
      </c>
      <c r="AB57" s="37">
        <v>1.9973094692321443</v>
      </c>
      <c r="AC57" s="37">
        <v>3.0123878394249388</v>
      </c>
      <c r="AD57" s="37">
        <v>4.0716588175183208</v>
      </c>
      <c r="AE57" s="37">
        <v>4.9997531956105306</v>
      </c>
      <c r="AF57" s="37">
        <v>4.9999999887930242</v>
      </c>
      <c r="AG57" s="37">
        <v>4.9999999999994911</v>
      </c>
      <c r="AH57" s="37">
        <v>5</v>
      </c>
      <c r="AI57" s="37">
        <v>5</v>
      </c>
      <c r="AJ57" s="37">
        <v>5</v>
      </c>
      <c r="AK57" s="37">
        <v>5</v>
      </c>
      <c r="AL57" s="37">
        <v>5</v>
      </c>
      <c r="AM57" s="37">
        <v>5</v>
      </c>
      <c r="AN57" s="37">
        <v>5</v>
      </c>
      <c r="AO57" s="37">
        <v>5</v>
      </c>
      <c r="AP57" s="37">
        <v>5</v>
      </c>
      <c r="AQ57" s="37">
        <v>5</v>
      </c>
    </row>
    <row r="58" spans="2:43" x14ac:dyDescent="0.2">
      <c r="B58" s="2">
        <f t="shared" si="6"/>
        <v>13</v>
      </c>
      <c r="C58" s="7">
        <f t="shared" si="7"/>
        <v>0.99999773967570205</v>
      </c>
      <c r="D58" s="3">
        <f t="shared" si="4"/>
        <v>0.99999712656641859</v>
      </c>
    </row>
    <row r="59" spans="2:43" x14ac:dyDescent="0.2">
      <c r="B59" s="2">
        <f t="shared" si="6"/>
        <v>13.5</v>
      </c>
      <c r="C59" s="7">
        <f t="shared" si="7"/>
        <v>0.99999862904279313</v>
      </c>
      <c r="D59" s="3">
        <f t="shared" si="4"/>
        <v>0.99999865618952821</v>
      </c>
    </row>
    <row r="60" spans="2:43" x14ac:dyDescent="0.2">
      <c r="B60" s="2">
        <f t="shared" si="6"/>
        <v>14</v>
      </c>
      <c r="C60" s="7">
        <f t="shared" si="7"/>
        <v>0.99999916847197234</v>
      </c>
      <c r="D60" s="3">
        <f t="shared" ref="D60:D78" si="8">Sigmoid($I$2*B60+$H$2)</f>
        <v>0.99999937154450846</v>
      </c>
    </row>
    <row r="61" spans="2:43" x14ac:dyDescent="0.2">
      <c r="B61" s="2">
        <f t="shared" si="6"/>
        <v>14.5</v>
      </c>
      <c r="C61" s="7">
        <f t="shared" si="7"/>
        <v>0.99999949565259183</v>
      </c>
      <c r="D61" s="3">
        <f t="shared" si="8"/>
        <v>0.99999970609236744</v>
      </c>
    </row>
    <row r="62" spans="2:43" x14ac:dyDescent="0.2">
      <c r="B62" s="2">
        <f t="shared" si="6"/>
        <v>15</v>
      </c>
      <c r="C62" s="7">
        <f t="shared" si="7"/>
        <v>0.99999969409777312</v>
      </c>
      <c r="D62" s="3">
        <f t="shared" si="8"/>
        <v>0.99999986254924611</v>
      </c>
    </row>
    <row r="63" spans="2:43" x14ac:dyDescent="0.2">
      <c r="B63" s="2">
        <f t="shared" si="6"/>
        <v>15.5</v>
      </c>
      <c r="C63" s="7">
        <f t="shared" si="7"/>
        <v>0.99999981446089814</v>
      </c>
      <c r="D63" s="3">
        <f t="shared" si="8"/>
        <v>0.99999993571889234</v>
      </c>
    </row>
    <row r="64" spans="2:43" x14ac:dyDescent="0.2">
      <c r="B64" s="2">
        <f t="shared" si="6"/>
        <v>16</v>
      </c>
      <c r="C64" s="7">
        <f t="shared" si="7"/>
        <v>0.99999988746483792</v>
      </c>
      <c r="D64" s="3">
        <f t="shared" si="8"/>
        <v>0.99999996993788298</v>
      </c>
    </row>
    <row r="65" spans="2:43" x14ac:dyDescent="0.2">
      <c r="B65" s="2">
        <f t="shared" si="6"/>
        <v>16.5</v>
      </c>
      <c r="C65" s="7">
        <f t="shared" si="7"/>
        <v>0.99999993174397095</v>
      </c>
      <c r="D65" s="3">
        <f t="shared" si="8"/>
        <v>0.99999998594095696</v>
      </c>
      <c r="P65" s="8">
        <v>8</v>
      </c>
      <c r="Q65" s="8">
        <v>8</v>
      </c>
      <c r="R65" s="8">
        <v>8</v>
      </c>
      <c r="S65" s="8">
        <v>8</v>
      </c>
      <c r="T65" s="8">
        <v>8</v>
      </c>
      <c r="U65" s="8">
        <v>8</v>
      </c>
      <c r="V65" s="8">
        <v>8</v>
      </c>
      <c r="W65" s="8">
        <v>8</v>
      </c>
      <c r="X65" s="8">
        <v>8</v>
      </c>
      <c r="Y65" s="8">
        <v>8</v>
      </c>
      <c r="Z65" s="8">
        <v>8</v>
      </c>
      <c r="AA65" s="8">
        <v>8</v>
      </c>
      <c r="AB65" s="8">
        <v>7.9999999999985016</v>
      </c>
      <c r="AC65" s="8">
        <v>7.9999999670215436</v>
      </c>
      <c r="AD65" s="8">
        <v>7.9992736608933255</v>
      </c>
      <c r="AE65" s="8">
        <v>3.25</v>
      </c>
      <c r="AF65" s="8">
        <v>4.9995460481055405</v>
      </c>
      <c r="AG65" s="8">
        <v>4.9999999793884644</v>
      </c>
      <c r="AH65" s="8">
        <v>4.9999999999990639</v>
      </c>
      <c r="AI65" s="8">
        <v>5</v>
      </c>
      <c r="AJ65" s="8">
        <v>5</v>
      </c>
      <c r="AK65" s="8">
        <v>5</v>
      </c>
      <c r="AL65" s="8">
        <v>5</v>
      </c>
      <c r="AM65" s="8">
        <v>5</v>
      </c>
      <c r="AN65" s="8">
        <v>5</v>
      </c>
      <c r="AO65" s="8">
        <v>5</v>
      </c>
      <c r="AP65" s="8">
        <v>5</v>
      </c>
      <c r="AQ65" s="8">
        <v>5</v>
      </c>
    </row>
    <row r="66" spans="2:43" x14ac:dyDescent="0.2">
      <c r="B66" s="2">
        <f t="shared" si="6"/>
        <v>17</v>
      </c>
      <c r="C66" s="7">
        <f t="shared" si="7"/>
        <v>0.99999995860062452</v>
      </c>
      <c r="D66" s="3">
        <f t="shared" si="8"/>
        <v>0.99999999342505752</v>
      </c>
      <c r="P66" s="8">
        <v>8</v>
      </c>
      <c r="Q66" s="8">
        <v>8</v>
      </c>
      <c r="R66" s="8">
        <v>8</v>
      </c>
      <c r="S66" s="8">
        <v>8</v>
      </c>
      <c r="T66" s="8">
        <v>8</v>
      </c>
      <c r="U66" s="8">
        <v>8</v>
      </c>
      <c r="V66" s="8">
        <v>8</v>
      </c>
      <c r="W66" s="8">
        <v>8</v>
      </c>
      <c r="X66" s="8">
        <v>8</v>
      </c>
      <c r="Y66" s="8">
        <v>8</v>
      </c>
      <c r="Z66" s="8">
        <v>8</v>
      </c>
      <c r="AA66" s="8">
        <v>8</v>
      </c>
      <c r="AB66" s="8">
        <v>7.9999999999682521</v>
      </c>
      <c r="AC66" s="8">
        <v>7.9999993007202947</v>
      </c>
      <c r="AD66" s="8">
        <v>7.9846302341177822</v>
      </c>
      <c r="AE66" s="8">
        <v>2.580263531264765</v>
      </c>
      <c r="AF66" s="8">
        <v>4.9997983840849987</v>
      </c>
      <c r="AG66" s="8">
        <v>4.9999999908463186</v>
      </c>
      <c r="AH66" s="8">
        <v>4.9999999999995843</v>
      </c>
      <c r="AI66" s="8">
        <v>5</v>
      </c>
      <c r="AJ66" s="8">
        <v>5</v>
      </c>
      <c r="AK66" s="8">
        <v>5</v>
      </c>
      <c r="AL66" s="8">
        <v>5</v>
      </c>
      <c r="AM66" s="8">
        <v>5</v>
      </c>
      <c r="AN66" s="8">
        <v>5</v>
      </c>
      <c r="AO66" s="8">
        <v>5</v>
      </c>
      <c r="AP66" s="8">
        <v>5</v>
      </c>
      <c r="AQ66" s="8">
        <v>5</v>
      </c>
    </row>
    <row r="67" spans="2:43" x14ac:dyDescent="0.2">
      <c r="B67" s="2">
        <f t="shared" si="6"/>
        <v>17.5</v>
      </c>
      <c r="C67" s="7">
        <f t="shared" si="7"/>
        <v>0.99999997489000902</v>
      </c>
      <c r="D67" s="3">
        <f t="shared" si="8"/>
        <v>0.99999999692512009</v>
      </c>
      <c r="P67" s="8">
        <v>8</v>
      </c>
      <c r="Q67" s="8">
        <v>8</v>
      </c>
      <c r="R67" s="8">
        <v>8</v>
      </c>
      <c r="S67" s="8">
        <v>8</v>
      </c>
      <c r="T67" s="8">
        <v>8</v>
      </c>
      <c r="U67" s="8">
        <v>8</v>
      </c>
      <c r="V67" s="8">
        <v>8</v>
      </c>
      <c r="W67" s="8">
        <v>8</v>
      </c>
      <c r="X67" s="8">
        <v>8</v>
      </c>
      <c r="Y67" s="8">
        <v>8</v>
      </c>
      <c r="Z67" s="8">
        <v>8</v>
      </c>
      <c r="AA67" s="8">
        <v>7.9999999999999547</v>
      </c>
      <c r="AB67" s="8">
        <v>7.9999999990046939</v>
      </c>
      <c r="AC67" s="8">
        <v>7.9999780770300912</v>
      </c>
      <c r="AD67" s="8">
        <v>7.5640080412065949</v>
      </c>
      <c r="AE67" s="8">
        <v>3.4949439162796887</v>
      </c>
      <c r="AF67" s="8">
        <v>4.9998950553016623</v>
      </c>
      <c r="AG67" s="8">
        <v>4.9999999952353971</v>
      </c>
      <c r="AH67" s="8">
        <v>4.9999999999997833</v>
      </c>
      <c r="AI67" s="8">
        <v>5</v>
      </c>
      <c r="AJ67" s="8">
        <v>5</v>
      </c>
      <c r="AK67" s="8">
        <v>5</v>
      </c>
      <c r="AL67" s="8">
        <v>5</v>
      </c>
      <c r="AM67" s="8">
        <v>5</v>
      </c>
      <c r="AN67" s="8">
        <v>5</v>
      </c>
      <c r="AO67" s="8">
        <v>5</v>
      </c>
      <c r="AP67" s="8">
        <v>5</v>
      </c>
      <c r="AQ67" s="8">
        <v>5</v>
      </c>
    </row>
    <row r="68" spans="2:43" x14ac:dyDescent="0.2">
      <c r="B68" s="2">
        <f t="shared" si="6"/>
        <v>18</v>
      </c>
      <c r="C68" s="7">
        <f t="shared" si="7"/>
        <v>0.9999999847700205</v>
      </c>
      <c r="D68" s="3">
        <f t="shared" si="8"/>
        <v>0.99999999856198196</v>
      </c>
      <c r="P68" s="8">
        <v>8</v>
      </c>
      <c r="Q68" s="8">
        <v>8</v>
      </c>
      <c r="R68" s="8">
        <v>8</v>
      </c>
      <c r="S68" s="8">
        <v>8</v>
      </c>
      <c r="T68" s="8">
        <v>8</v>
      </c>
      <c r="U68" s="8">
        <v>8</v>
      </c>
      <c r="V68" s="8">
        <v>8</v>
      </c>
      <c r="W68" s="8">
        <v>8</v>
      </c>
      <c r="X68" s="8">
        <v>8</v>
      </c>
      <c r="Y68" s="8">
        <v>8</v>
      </c>
      <c r="Z68" s="8">
        <v>8</v>
      </c>
      <c r="AA68" s="8">
        <v>7.9999999999982787</v>
      </c>
      <c r="AB68" s="8">
        <v>7.9999999620882836</v>
      </c>
      <c r="AC68" s="8">
        <v>7.9991651607960916</v>
      </c>
      <c r="AD68" s="8">
        <v>4.5474656953180084</v>
      </c>
      <c r="AE68" s="8">
        <v>4.045689558363236</v>
      </c>
      <c r="AF68" s="8">
        <v>4.9999384837042298</v>
      </c>
      <c r="AG68" s="8">
        <v>4.9999999972071087</v>
      </c>
      <c r="AH68" s="8">
        <v>4.999999999999873</v>
      </c>
      <c r="AI68" s="8">
        <v>5</v>
      </c>
      <c r="AJ68" s="8">
        <v>5</v>
      </c>
      <c r="AK68" s="8">
        <v>5</v>
      </c>
      <c r="AL68" s="8">
        <v>5</v>
      </c>
      <c r="AM68" s="8">
        <v>5</v>
      </c>
      <c r="AN68" s="8">
        <v>5</v>
      </c>
      <c r="AO68" s="8">
        <v>5</v>
      </c>
      <c r="AP68" s="8">
        <v>5</v>
      </c>
      <c r="AQ68" s="8">
        <v>5</v>
      </c>
    </row>
    <row r="69" spans="2:43" x14ac:dyDescent="0.2">
      <c r="B69" s="2">
        <f t="shared" si="6"/>
        <v>18.5</v>
      </c>
      <c r="C69" s="7">
        <f t="shared" si="7"/>
        <v>0.99999999076255042</v>
      </c>
      <c r="D69" s="3">
        <f t="shared" si="8"/>
        <v>0.99999999932748718</v>
      </c>
      <c r="P69" s="8">
        <v>8</v>
      </c>
      <c r="Q69" s="8">
        <v>8</v>
      </c>
      <c r="R69" s="8">
        <v>8</v>
      </c>
      <c r="S69" s="8">
        <v>8</v>
      </c>
      <c r="T69" s="8">
        <v>8</v>
      </c>
      <c r="U69" s="8">
        <v>8</v>
      </c>
      <c r="V69" s="8">
        <v>8</v>
      </c>
      <c r="W69" s="8">
        <v>8</v>
      </c>
      <c r="X69" s="8">
        <v>8</v>
      </c>
      <c r="Y69" s="8">
        <v>8</v>
      </c>
      <c r="Z69" s="8">
        <v>7.9999999999999964</v>
      </c>
      <c r="AA69" s="8">
        <v>7.9999999999276143</v>
      </c>
      <c r="AB69" s="8">
        <v>7.999998405600385</v>
      </c>
      <c r="AC69" s="8">
        <v>7.9653708057153434</v>
      </c>
      <c r="AD69" s="8">
        <v>2.3237921206721865</v>
      </c>
      <c r="AE69" s="8">
        <v>4.3575250885020447</v>
      </c>
      <c r="AF69" s="8">
        <v>4.999960961726984</v>
      </c>
      <c r="AG69" s="8">
        <v>4.9999999982276364</v>
      </c>
      <c r="AH69" s="8">
        <v>4.9999999999999201</v>
      </c>
      <c r="AI69" s="8">
        <v>5</v>
      </c>
      <c r="AJ69" s="8">
        <v>5</v>
      </c>
      <c r="AK69" s="8">
        <v>5</v>
      </c>
      <c r="AL69" s="8">
        <v>5</v>
      </c>
      <c r="AM69" s="8">
        <v>5</v>
      </c>
      <c r="AN69" s="8">
        <v>5</v>
      </c>
      <c r="AO69" s="8">
        <v>5</v>
      </c>
      <c r="AP69" s="8">
        <v>5</v>
      </c>
      <c r="AQ69" s="8">
        <v>5</v>
      </c>
    </row>
    <row r="70" spans="2:43" x14ac:dyDescent="0.2">
      <c r="B70" s="2">
        <f t="shared" si="6"/>
        <v>19</v>
      </c>
      <c r="C70" s="7">
        <f t="shared" si="7"/>
        <v>0.99999999439720355</v>
      </c>
      <c r="D70" s="3">
        <f t="shared" si="8"/>
        <v>0.99999999968548836</v>
      </c>
      <c r="P70" s="8">
        <v>8</v>
      </c>
      <c r="Q70" s="8">
        <v>8</v>
      </c>
      <c r="R70" s="8">
        <v>8</v>
      </c>
      <c r="S70" s="8">
        <v>8</v>
      </c>
      <c r="T70" s="8">
        <v>8</v>
      </c>
      <c r="U70" s="8">
        <v>8</v>
      </c>
      <c r="V70" s="8">
        <v>8</v>
      </c>
      <c r="W70" s="8">
        <v>8</v>
      </c>
      <c r="X70" s="8">
        <v>8</v>
      </c>
      <c r="Y70" s="8">
        <v>8</v>
      </c>
      <c r="Z70" s="8">
        <v>7.9999999999998543</v>
      </c>
      <c r="AA70" s="8">
        <v>7.9999999967818773</v>
      </c>
      <c r="AB70" s="8">
        <v>7.9999291185207335</v>
      </c>
      <c r="AC70" s="8">
        <v>7.0884413947671163</v>
      </c>
      <c r="AD70" s="8">
        <v>1.4096958628185099</v>
      </c>
      <c r="AE70" s="8">
        <v>4.5479282555345639</v>
      </c>
      <c r="AF70" s="8">
        <v>4.9999739354923136</v>
      </c>
      <c r="AG70" s="8">
        <v>4.9999999988166586</v>
      </c>
      <c r="AH70" s="8">
        <v>4.9999999999999467</v>
      </c>
      <c r="AI70" s="8">
        <v>5</v>
      </c>
      <c r="AJ70" s="8">
        <v>5</v>
      </c>
      <c r="AK70" s="8">
        <v>5</v>
      </c>
      <c r="AL70" s="8">
        <v>5</v>
      </c>
      <c r="AM70" s="8">
        <v>5</v>
      </c>
      <c r="AN70" s="8">
        <v>5</v>
      </c>
      <c r="AO70" s="8">
        <v>5</v>
      </c>
      <c r="AP70" s="8">
        <v>5</v>
      </c>
      <c r="AQ70" s="8">
        <v>5</v>
      </c>
    </row>
    <row r="71" spans="2:43" x14ac:dyDescent="0.2">
      <c r="B71" s="2">
        <f t="shared" si="6"/>
        <v>19.5</v>
      </c>
      <c r="C71" s="7">
        <f t="shared" si="7"/>
        <v>0.99999999660173222</v>
      </c>
      <c r="D71" s="3">
        <f t="shared" si="8"/>
        <v>0.99999999985291343</v>
      </c>
      <c r="P71" s="8">
        <v>8</v>
      </c>
      <c r="Q71" s="8">
        <v>8</v>
      </c>
      <c r="R71" s="8">
        <v>8</v>
      </c>
      <c r="S71" s="8">
        <v>8</v>
      </c>
      <c r="T71" s="8">
        <v>8</v>
      </c>
      <c r="U71" s="8">
        <v>8</v>
      </c>
      <c r="V71" s="8">
        <v>8</v>
      </c>
      <c r="W71" s="8">
        <v>8</v>
      </c>
      <c r="X71" s="8">
        <v>8</v>
      </c>
      <c r="Y71" s="8">
        <v>8</v>
      </c>
      <c r="Z71" s="8">
        <v>7.9999999999932818</v>
      </c>
      <c r="AA71" s="8">
        <v>7.9999998520199629</v>
      </c>
      <c r="AB71" s="8">
        <v>7.996746220157438</v>
      </c>
      <c r="AC71" s="8">
        <v>5.056507628659479</v>
      </c>
      <c r="AD71" s="8">
        <v>0.70643119886460537</v>
      </c>
      <c r="AE71" s="8">
        <v>4.6732224184847384</v>
      </c>
      <c r="AF71" s="8">
        <v>4.9999820209673151</v>
      </c>
      <c r="AG71" s="8">
        <v>4.9999999991837454</v>
      </c>
      <c r="AH71" s="8">
        <v>4.9999999999999627</v>
      </c>
      <c r="AI71" s="8">
        <v>5</v>
      </c>
      <c r="AJ71" s="8">
        <v>5</v>
      </c>
      <c r="AK71" s="8">
        <v>5</v>
      </c>
      <c r="AL71" s="8">
        <v>5</v>
      </c>
      <c r="AM71" s="8">
        <v>5</v>
      </c>
      <c r="AN71" s="8">
        <v>5</v>
      </c>
      <c r="AO71" s="8">
        <v>5</v>
      </c>
      <c r="AP71" s="8">
        <v>5</v>
      </c>
      <c r="AQ71" s="8">
        <v>5</v>
      </c>
    </row>
    <row r="72" spans="2:43" x14ac:dyDescent="0.2">
      <c r="B72" s="2">
        <f t="shared" si="6"/>
        <v>20</v>
      </c>
      <c r="C72" s="7">
        <f t="shared" si="7"/>
        <v>0.99999999793884642</v>
      </c>
      <c r="D72" s="3">
        <f t="shared" si="8"/>
        <v>0.99999999993121258</v>
      </c>
      <c r="P72" s="8">
        <v>8</v>
      </c>
      <c r="Q72" s="8">
        <v>8</v>
      </c>
      <c r="R72" s="8">
        <v>8</v>
      </c>
      <c r="S72" s="8">
        <v>8</v>
      </c>
      <c r="T72" s="8">
        <v>8</v>
      </c>
      <c r="U72" s="8">
        <v>8</v>
      </c>
      <c r="V72" s="8">
        <v>8</v>
      </c>
      <c r="W72" s="8">
        <v>8</v>
      </c>
      <c r="X72" s="8">
        <v>8</v>
      </c>
      <c r="Y72" s="8">
        <v>7.9999999999999858</v>
      </c>
      <c r="Z72" s="8">
        <v>7.9999999996842988</v>
      </c>
      <c r="AA72" s="8">
        <v>7.9999930462619337</v>
      </c>
      <c r="AB72" s="8">
        <v>7.8594671272893342</v>
      </c>
      <c r="AC72" s="8">
        <v>3.558939946354549</v>
      </c>
      <c r="AD72" s="8">
        <v>0.56358313766238299</v>
      </c>
      <c r="AE72" s="8">
        <v>4.7602115115575572</v>
      </c>
      <c r="AF72" s="8">
        <v>4.9999873298169408</v>
      </c>
      <c r="AG72" s="8">
        <v>4.9999999994247704</v>
      </c>
      <c r="AH72" s="8">
        <v>4.9999999999999734</v>
      </c>
      <c r="AI72" s="8">
        <v>5</v>
      </c>
      <c r="AJ72" s="8">
        <v>5</v>
      </c>
      <c r="AK72" s="8">
        <v>5</v>
      </c>
      <c r="AL72" s="8">
        <v>5</v>
      </c>
      <c r="AM72" s="8">
        <v>5</v>
      </c>
      <c r="AN72" s="8">
        <v>5</v>
      </c>
      <c r="AO72" s="8">
        <v>5</v>
      </c>
      <c r="AP72" s="8">
        <v>5</v>
      </c>
      <c r="AQ72" s="8">
        <v>5</v>
      </c>
    </row>
    <row r="73" spans="2:43" x14ac:dyDescent="0.2">
      <c r="B73" s="2">
        <f t="shared" si="6"/>
        <v>20.5</v>
      </c>
      <c r="C73" s="7">
        <f t="shared" si="7"/>
        <v>0.99999999874984713</v>
      </c>
      <c r="D73" s="3">
        <f t="shared" si="8"/>
        <v>0.9999999999678304</v>
      </c>
      <c r="P73" s="8">
        <v>8</v>
      </c>
      <c r="Q73" s="8">
        <v>8</v>
      </c>
      <c r="R73" s="8">
        <v>8</v>
      </c>
      <c r="S73" s="8">
        <v>8</v>
      </c>
      <c r="T73" s="8">
        <v>8</v>
      </c>
      <c r="U73" s="8">
        <v>8</v>
      </c>
      <c r="V73" s="8">
        <v>8</v>
      </c>
      <c r="W73" s="8">
        <v>8</v>
      </c>
      <c r="X73" s="8">
        <v>8</v>
      </c>
      <c r="Y73" s="8">
        <v>7.9999999999993161</v>
      </c>
      <c r="Z73" s="8">
        <v>7.9999999849479764</v>
      </c>
      <c r="AA73" s="8">
        <v>7.9996685258236271</v>
      </c>
      <c r="AB73" s="8">
        <v>6.5862946521902872</v>
      </c>
      <c r="AC73" s="8">
        <v>2.4965835052277634</v>
      </c>
      <c r="AD73" s="8">
        <v>0.95452794338503022</v>
      </c>
      <c r="AE73" s="8">
        <v>4.8226745566210125</v>
      </c>
      <c r="AF73" s="8">
        <v>4.9999909411164793</v>
      </c>
      <c r="AG73" s="8">
        <v>4.9999999995887254</v>
      </c>
      <c r="AH73" s="8">
        <v>4.9999999999999813</v>
      </c>
      <c r="AI73" s="8">
        <v>5</v>
      </c>
      <c r="AJ73" s="8">
        <v>5</v>
      </c>
      <c r="AK73" s="8">
        <v>5</v>
      </c>
      <c r="AL73" s="8">
        <v>5</v>
      </c>
      <c r="AM73" s="8">
        <v>5</v>
      </c>
      <c r="AN73" s="8">
        <v>5</v>
      </c>
      <c r="AO73" s="8">
        <v>5</v>
      </c>
      <c r="AP73" s="8">
        <v>5</v>
      </c>
      <c r="AQ73" s="8">
        <v>5</v>
      </c>
    </row>
    <row r="74" spans="2:43" x14ac:dyDescent="0.2">
      <c r="B74" s="2">
        <f t="shared" si="6"/>
        <v>21</v>
      </c>
      <c r="C74" s="7">
        <f t="shared" si="7"/>
        <v>0.99999999924174399</v>
      </c>
      <c r="D74" s="3">
        <f t="shared" si="8"/>
        <v>0.99999999998495537</v>
      </c>
      <c r="P74" s="8">
        <v>8</v>
      </c>
      <c r="Q74" s="8">
        <v>8</v>
      </c>
      <c r="R74" s="8">
        <v>8</v>
      </c>
      <c r="S74" s="8">
        <v>8</v>
      </c>
      <c r="T74" s="8">
        <v>8</v>
      </c>
      <c r="U74" s="8">
        <v>8</v>
      </c>
      <c r="V74" s="8">
        <v>8</v>
      </c>
      <c r="W74" s="8">
        <v>8</v>
      </c>
      <c r="X74" s="8">
        <v>7.9999999999999982</v>
      </c>
      <c r="Y74" s="8">
        <v>7.9999999999670903</v>
      </c>
      <c r="Z74" s="8">
        <v>7.9999992751368838</v>
      </c>
      <c r="AA74" s="8">
        <v>7.9841992924119509</v>
      </c>
      <c r="AB74" s="8">
        <v>5.2372258464037911</v>
      </c>
      <c r="AC74" s="8">
        <v>1.9821162672700612</v>
      </c>
      <c r="AD74" s="8">
        <v>1.4361905480530799</v>
      </c>
      <c r="AE74" s="8">
        <v>4.8683962599605026</v>
      </c>
      <c r="AF74" s="8">
        <v>4.9999934581339573</v>
      </c>
      <c r="AG74" s="8">
        <v>4.9999999997029985</v>
      </c>
      <c r="AH74" s="8">
        <v>4.9999999999999867</v>
      </c>
      <c r="AI74" s="8">
        <v>5</v>
      </c>
      <c r="AJ74" s="8">
        <v>5</v>
      </c>
      <c r="AK74" s="8">
        <v>5</v>
      </c>
      <c r="AL74" s="8">
        <v>5</v>
      </c>
      <c r="AM74" s="8">
        <v>5</v>
      </c>
      <c r="AN74" s="8">
        <v>5</v>
      </c>
      <c r="AO74" s="8">
        <v>5</v>
      </c>
      <c r="AP74" s="8">
        <v>5</v>
      </c>
      <c r="AQ74" s="8">
        <v>5</v>
      </c>
    </row>
    <row r="75" spans="2:43" x14ac:dyDescent="0.2">
      <c r="B75" s="2">
        <f t="shared" si="6"/>
        <v>21.5</v>
      </c>
      <c r="C75" s="7">
        <f t="shared" si="7"/>
        <v>0.99999999954009444</v>
      </c>
      <c r="D75" s="3">
        <f t="shared" si="8"/>
        <v>0.99999999999296418</v>
      </c>
      <c r="P75" s="8">
        <v>8</v>
      </c>
      <c r="Q75" s="8">
        <v>8</v>
      </c>
      <c r="R75" s="8">
        <v>8</v>
      </c>
      <c r="S75" s="8">
        <v>8</v>
      </c>
      <c r="T75" s="8">
        <v>8</v>
      </c>
      <c r="U75" s="8">
        <v>8</v>
      </c>
      <c r="V75" s="8">
        <v>8</v>
      </c>
      <c r="W75" s="8">
        <v>8</v>
      </c>
      <c r="X75" s="8">
        <v>7.9999999999999272</v>
      </c>
      <c r="Y75" s="8">
        <v>7.9999999984040295</v>
      </c>
      <c r="Z75" s="8">
        <v>7.9999648472433389</v>
      </c>
      <c r="AA75" s="8">
        <v>7.4968809168627129</v>
      </c>
      <c r="AB75" s="8">
        <v>4.1547007770659583</v>
      </c>
      <c r="AC75" s="8">
        <v>1.7628318278013044</v>
      </c>
      <c r="AD75" s="8">
        <v>1.8351613135847908</v>
      </c>
      <c r="AE75" s="8">
        <v>4.902198660602056</v>
      </c>
      <c r="AF75" s="8">
        <v>4.999995242494939</v>
      </c>
      <c r="AG75" s="8">
        <v>4.9999999997840092</v>
      </c>
      <c r="AH75" s="8">
        <v>4.9999999999999902</v>
      </c>
      <c r="AI75" s="8">
        <v>5</v>
      </c>
      <c r="AJ75" s="8">
        <v>5</v>
      </c>
      <c r="AK75" s="8">
        <v>5</v>
      </c>
      <c r="AL75" s="8">
        <v>5</v>
      </c>
      <c r="AM75" s="8">
        <v>5</v>
      </c>
      <c r="AN75" s="8">
        <v>5</v>
      </c>
      <c r="AO75" s="8">
        <v>5</v>
      </c>
      <c r="AP75" s="8">
        <v>5</v>
      </c>
      <c r="AQ75" s="8">
        <v>5</v>
      </c>
    </row>
    <row r="76" spans="2:43" x14ac:dyDescent="0.2">
      <c r="B76" s="2">
        <f t="shared" si="6"/>
        <v>22</v>
      </c>
      <c r="C76" s="7">
        <f t="shared" si="7"/>
        <v>0.99999999972105325</v>
      </c>
      <c r="D76" s="3">
        <f t="shared" si="8"/>
        <v>0.99999999999670952</v>
      </c>
      <c r="P76" s="8">
        <v>8</v>
      </c>
      <c r="Q76" s="8">
        <v>8</v>
      </c>
      <c r="R76" s="8">
        <v>8</v>
      </c>
      <c r="S76" s="8">
        <v>8</v>
      </c>
      <c r="T76" s="8">
        <v>8</v>
      </c>
      <c r="U76" s="8">
        <v>8</v>
      </c>
      <c r="V76" s="8">
        <v>8</v>
      </c>
      <c r="W76" s="8">
        <v>8</v>
      </c>
      <c r="X76" s="8">
        <v>7.9999999999964686</v>
      </c>
      <c r="Y76" s="8">
        <v>7.999999922211507</v>
      </c>
      <c r="Z76" s="8">
        <v>7.9982886372611697</v>
      </c>
      <c r="AA76" s="8">
        <v>6.3115839591832721</v>
      </c>
      <c r="AB76" s="8">
        <v>3.2796731173358049</v>
      </c>
      <c r="AC76" s="8">
        <v>1.245415371648608</v>
      </c>
      <c r="AD76" s="8">
        <v>2.1468939346952971</v>
      </c>
      <c r="AE76" s="8">
        <v>4.927303557120303</v>
      </c>
      <c r="AF76" s="8">
        <v>4.9999965227706911</v>
      </c>
      <c r="AG76" s="8">
        <v>4.9999999998421334</v>
      </c>
      <c r="AH76" s="8">
        <v>4.9999999999999929</v>
      </c>
      <c r="AI76" s="8">
        <v>5</v>
      </c>
      <c r="AJ76" s="8">
        <v>5</v>
      </c>
      <c r="AK76" s="8">
        <v>5</v>
      </c>
      <c r="AL76" s="8">
        <v>5</v>
      </c>
      <c r="AM76" s="8">
        <v>5</v>
      </c>
      <c r="AN76" s="8">
        <v>5</v>
      </c>
      <c r="AO76" s="8">
        <v>5</v>
      </c>
      <c r="AP76" s="8">
        <v>5</v>
      </c>
      <c r="AQ76" s="8">
        <v>5</v>
      </c>
    </row>
    <row r="77" spans="2:43" x14ac:dyDescent="0.2">
      <c r="B77" s="2">
        <f t="shared" si="6"/>
        <v>22.5</v>
      </c>
      <c r="C77" s="7">
        <f t="shared" si="7"/>
        <v>0.99999999983081023</v>
      </c>
      <c r="D77" s="3">
        <f t="shared" si="8"/>
        <v>0.99999999999846112</v>
      </c>
      <c r="P77" s="8">
        <v>8</v>
      </c>
      <c r="Q77" s="8">
        <v>8</v>
      </c>
      <c r="R77" s="8">
        <v>8</v>
      </c>
      <c r="S77" s="8">
        <v>8</v>
      </c>
      <c r="T77" s="8">
        <v>8</v>
      </c>
      <c r="U77" s="8">
        <v>8</v>
      </c>
      <c r="V77" s="8">
        <v>8</v>
      </c>
      <c r="W77" s="8">
        <v>7.9999999999999929</v>
      </c>
      <c r="X77" s="8">
        <v>7.9999999998272457</v>
      </c>
      <c r="Y77" s="8">
        <v>7.9999961948363731</v>
      </c>
      <c r="Z77" s="8">
        <v>7.9209161019927983</v>
      </c>
      <c r="AA77" s="8">
        <v>5.3232856689541421</v>
      </c>
      <c r="AB77" s="8">
        <v>2.5970922874779858</v>
      </c>
      <c r="AC77" s="8">
        <v>0.8182442586947517</v>
      </c>
      <c r="AD77" s="8">
        <v>2.4545733510799472</v>
      </c>
      <c r="AE77" s="8">
        <v>4.9459799688067418</v>
      </c>
      <c r="AF77" s="8">
        <v>4.9999974493203077</v>
      </c>
      <c r="AG77" s="8">
        <v>4.9999999998841993</v>
      </c>
      <c r="AH77" s="8">
        <v>4.9999999999999947</v>
      </c>
      <c r="AI77" s="8">
        <v>5</v>
      </c>
      <c r="AJ77" s="8">
        <v>5</v>
      </c>
      <c r="AK77" s="8">
        <v>5</v>
      </c>
      <c r="AL77" s="8">
        <v>5</v>
      </c>
      <c r="AM77" s="8">
        <v>5</v>
      </c>
      <c r="AN77" s="8">
        <v>5</v>
      </c>
      <c r="AO77" s="8">
        <v>5</v>
      </c>
      <c r="AP77" s="8">
        <v>5</v>
      </c>
      <c r="AQ77" s="8">
        <v>5</v>
      </c>
    </row>
    <row r="78" spans="2:43" x14ac:dyDescent="0.2">
      <c r="B78" s="2">
        <f t="shared" si="6"/>
        <v>23</v>
      </c>
      <c r="C78" s="7">
        <f t="shared" si="7"/>
        <v>0.9999999998973812</v>
      </c>
      <c r="D78" s="3">
        <f t="shared" si="8"/>
        <v>0.99999999999928035</v>
      </c>
      <c r="P78" s="8">
        <v>8</v>
      </c>
      <c r="Q78" s="8">
        <v>8</v>
      </c>
      <c r="R78" s="8">
        <v>8</v>
      </c>
      <c r="S78" s="8">
        <v>8</v>
      </c>
      <c r="T78" s="8">
        <v>8</v>
      </c>
      <c r="U78" s="8">
        <v>8</v>
      </c>
      <c r="V78" s="8">
        <v>8</v>
      </c>
      <c r="W78" s="8">
        <v>7.9999999999996163</v>
      </c>
      <c r="X78" s="8">
        <v>7.9999999915271873</v>
      </c>
      <c r="Y78" s="8">
        <v>7.999813398949799</v>
      </c>
      <c r="Z78" s="8">
        <v>7.0316196006852829</v>
      </c>
      <c r="AA78" s="8">
        <v>4.5221379059458267</v>
      </c>
      <c r="AB78" s="8">
        <v>2.0508472480908675</v>
      </c>
      <c r="AC78" s="8">
        <v>0.53118273351436651</v>
      </c>
      <c r="AD78" s="8">
        <v>2.7173795685718316</v>
      </c>
      <c r="AE78" s="8">
        <v>4.9598771296848385</v>
      </c>
      <c r="AF78" s="8">
        <v>4.9999981240673108</v>
      </c>
      <c r="AG78" s="8">
        <v>4.9999999999148326</v>
      </c>
      <c r="AH78" s="8">
        <v>4.9999999999999964</v>
      </c>
      <c r="AI78" s="8">
        <v>5</v>
      </c>
      <c r="AJ78" s="8">
        <v>5</v>
      </c>
      <c r="AK78" s="8">
        <v>5</v>
      </c>
      <c r="AL78" s="8">
        <v>5</v>
      </c>
      <c r="AM78" s="8">
        <v>5</v>
      </c>
      <c r="AN78" s="8">
        <v>5</v>
      </c>
      <c r="AO78" s="8">
        <v>5</v>
      </c>
      <c r="AP78" s="8">
        <v>5</v>
      </c>
      <c r="AQ78" s="8">
        <v>5</v>
      </c>
    </row>
    <row r="79" spans="2:43" x14ac:dyDescent="0.2">
      <c r="P79" s="8">
        <v>8</v>
      </c>
      <c r="Q79" s="8">
        <v>8</v>
      </c>
      <c r="R79" s="8">
        <v>8</v>
      </c>
      <c r="S79" s="8">
        <v>8</v>
      </c>
      <c r="T79" s="8">
        <v>8</v>
      </c>
      <c r="U79" s="8">
        <v>8</v>
      </c>
      <c r="V79" s="8">
        <v>7.9999999999999991</v>
      </c>
      <c r="W79" s="8">
        <v>7.9999999999810978</v>
      </c>
      <c r="X79" s="8">
        <v>7.9999995836518281</v>
      </c>
      <c r="Y79" s="8">
        <v>7.9908901642543544</v>
      </c>
      <c r="Z79" s="8">
        <v>6.1171860811118322</v>
      </c>
      <c r="AA79" s="8">
        <v>3.8213470123034488</v>
      </c>
      <c r="AB79" s="8">
        <v>1.9842022944157565</v>
      </c>
      <c r="AC79" s="8">
        <v>0.60834056009400816</v>
      </c>
      <c r="AD79" s="8">
        <v>2.8924729776359488</v>
      </c>
      <c r="AE79" s="8">
        <v>4.9702137789845526</v>
      </c>
      <c r="AF79" s="8">
        <v>4.9999986176763631</v>
      </c>
      <c r="AG79" s="8">
        <v>4.9999999999372422</v>
      </c>
      <c r="AH79" s="8">
        <v>4.9999999999999973</v>
      </c>
      <c r="AI79" s="8">
        <v>5</v>
      </c>
      <c r="AJ79" s="8">
        <v>5</v>
      </c>
      <c r="AK79" s="8">
        <v>5</v>
      </c>
      <c r="AL79" s="8">
        <v>5</v>
      </c>
      <c r="AM79" s="8">
        <v>5</v>
      </c>
      <c r="AN79" s="8">
        <v>5</v>
      </c>
      <c r="AO79" s="8">
        <v>5</v>
      </c>
      <c r="AP79" s="8">
        <v>5</v>
      </c>
      <c r="AQ79" s="8">
        <v>5</v>
      </c>
    </row>
    <row r="80" spans="2:43" x14ac:dyDescent="0.2">
      <c r="P80" s="8">
        <v>8</v>
      </c>
      <c r="Q80" s="8">
        <v>8</v>
      </c>
      <c r="R80" s="8">
        <v>8</v>
      </c>
      <c r="S80" s="8">
        <v>8</v>
      </c>
      <c r="T80" s="8">
        <v>8</v>
      </c>
      <c r="U80" s="8">
        <v>8</v>
      </c>
      <c r="V80" s="8">
        <v>7.9999999999999583</v>
      </c>
      <c r="W80" s="8">
        <v>7.9999999990698551</v>
      </c>
      <c r="X80" s="8">
        <v>7.9999795125219499</v>
      </c>
      <c r="Y80" s="8">
        <v>7.6634332023748968</v>
      </c>
      <c r="Z80" s="8">
        <v>5.3742869064205783</v>
      </c>
      <c r="AA80" s="8">
        <v>3.1069282694138458</v>
      </c>
      <c r="AB80" s="8">
        <v>1.9062986356074556</v>
      </c>
      <c r="AC80" s="8">
        <v>0.87400498736982557</v>
      </c>
      <c r="AD80" s="8">
        <v>3.0139027584664335</v>
      </c>
      <c r="AE80" s="8">
        <v>4.9778972810105575</v>
      </c>
      <c r="AF80" s="8">
        <v>4.9999989799739639</v>
      </c>
      <c r="AG80" s="8">
        <v>4.9999999999536913</v>
      </c>
      <c r="AH80" s="8">
        <v>4.9999999999999982</v>
      </c>
      <c r="AI80" s="8">
        <v>5</v>
      </c>
      <c r="AJ80" s="8">
        <v>5</v>
      </c>
      <c r="AK80" s="8">
        <v>5</v>
      </c>
      <c r="AL80" s="8">
        <v>5</v>
      </c>
      <c r="AM80" s="8">
        <v>5</v>
      </c>
      <c r="AN80" s="8">
        <v>5</v>
      </c>
      <c r="AO80" s="8">
        <v>5</v>
      </c>
      <c r="AP80" s="8">
        <v>5</v>
      </c>
      <c r="AQ80" s="8">
        <v>5</v>
      </c>
    </row>
    <row r="81" spans="16:43" x14ac:dyDescent="0.2">
      <c r="P81" s="8">
        <v>8</v>
      </c>
      <c r="Q81" s="8">
        <v>8</v>
      </c>
      <c r="R81" s="8">
        <v>8</v>
      </c>
      <c r="S81" s="8">
        <v>8</v>
      </c>
      <c r="T81" s="8">
        <v>8</v>
      </c>
      <c r="U81" s="8">
        <v>8</v>
      </c>
      <c r="V81" s="8">
        <v>7.9999999999979199</v>
      </c>
      <c r="W81" s="8">
        <v>7.9999999541820115</v>
      </c>
      <c r="X81" s="8">
        <v>7.9989915425080564</v>
      </c>
      <c r="Y81" s="8">
        <v>6.8459861105132358</v>
      </c>
      <c r="Z81" s="8">
        <v>4.7768476364304195</v>
      </c>
      <c r="AA81" s="8">
        <v>2.6937610866089017</v>
      </c>
      <c r="AB81" s="8">
        <v>1.5856973752316497</v>
      </c>
      <c r="AC81" s="8">
        <v>1.0608040071889011</v>
      </c>
      <c r="AD81" s="8">
        <v>3.1367682113526616</v>
      </c>
      <c r="AE81" s="8">
        <v>4.983604917519159</v>
      </c>
      <c r="AF81" s="8">
        <v>4.999999246539752</v>
      </c>
      <c r="AG81" s="8">
        <v>4.9999999999657927</v>
      </c>
      <c r="AH81" s="8">
        <v>4.9999999999999982</v>
      </c>
      <c r="AI81" s="8">
        <v>5</v>
      </c>
      <c r="AJ81" s="8">
        <v>5</v>
      </c>
      <c r="AK81" s="8">
        <v>5</v>
      </c>
      <c r="AL81" s="8">
        <v>5</v>
      </c>
      <c r="AM81" s="8">
        <v>5</v>
      </c>
      <c r="AN81" s="8">
        <v>5</v>
      </c>
      <c r="AO81" s="8">
        <v>5</v>
      </c>
      <c r="AP81" s="8">
        <v>5</v>
      </c>
      <c r="AQ81" s="8">
        <v>5</v>
      </c>
    </row>
    <row r="82" spans="16:43" x14ac:dyDescent="0.2">
      <c r="P82" s="8">
        <v>8</v>
      </c>
      <c r="Q82" s="8">
        <v>8</v>
      </c>
      <c r="R82" s="8">
        <v>8</v>
      </c>
      <c r="S82" s="8">
        <v>8</v>
      </c>
      <c r="T82" s="8">
        <v>8</v>
      </c>
      <c r="U82" s="8">
        <v>7.9999999999999956</v>
      </c>
      <c r="V82" s="8">
        <v>7.9999999998974562</v>
      </c>
      <c r="W82" s="8">
        <v>7.9999977413405521</v>
      </c>
      <c r="X82" s="8">
        <v>7.9520248230901336</v>
      </c>
      <c r="Y82" s="8">
        <v>6.0140488738874538</v>
      </c>
      <c r="Z82" s="8">
        <v>4.039793213286333</v>
      </c>
      <c r="AA82" s="8">
        <v>2.0959568499427808</v>
      </c>
      <c r="AB82" s="8">
        <v>1.1038269988759672</v>
      </c>
      <c r="AC82" s="8">
        <v>1.3504010142292171</v>
      </c>
      <c r="AD82" s="8">
        <v>3.2924018920367226</v>
      </c>
      <c r="AE82" s="8">
        <v>4.9878423257022897</v>
      </c>
      <c r="AF82" s="8">
        <v>4.9999994430207355</v>
      </c>
      <c r="AG82" s="8">
        <v>4.9999999999747136</v>
      </c>
      <c r="AH82" s="8">
        <v>4.9999999999999991</v>
      </c>
      <c r="AI82" s="8">
        <v>5</v>
      </c>
      <c r="AJ82" s="8">
        <v>5</v>
      </c>
      <c r="AK82" s="8">
        <v>5</v>
      </c>
      <c r="AL82" s="8">
        <v>5</v>
      </c>
      <c r="AM82" s="8">
        <v>5</v>
      </c>
      <c r="AN82" s="8">
        <v>5</v>
      </c>
      <c r="AO82" s="8">
        <v>5</v>
      </c>
      <c r="AP82" s="8">
        <v>5</v>
      </c>
      <c r="AQ82" s="8">
        <v>5</v>
      </c>
    </row>
    <row r="83" spans="16:43" x14ac:dyDescent="0.2">
      <c r="P83" s="8">
        <v>8</v>
      </c>
      <c r="Q83" s="8">
        <v>8</v>
      </c>
      <c r="R83" s="8">
        <v>8</v>
      </c>
      <c r="S83" s="8">
        <v>8</v>
      </c>
      <c r="T83" s="8">
        <v>8</v>
      </c>
      <c r="U83" s="8">
        <v>7.9999999999997708</v>
      </c>
      <c r="V83" s="8">
        <v>7.9999999949421587</v>
      </c>
      <c r="W83" s="8">
        <v>7.9998886028493716</v>
      </c>
      <c r="X83" s="8">
        <v>7.191656875403825</v>
      </c>
      <c r="Y83" s="8">
        <v>5.4119770705441415</v>
      </c>
      <c r="Z83" s="8">
        <v>3.6415986216785972</v>
      </c>
      <c r="AA83" s="8">
        <v>2.0005293150739614</v>
      </c>
      <c r="AB83" s="8">
        <v>0.91656442852728326</v>
      </c>
      <c r="AC83" s="8">
        <v>1.6909129510824679</v>
      </c>
      <c r="AD83" s="8">
        <v>3.4720988693901225</v>
      </c>
      <c r="AE83" s="8">
        <v>4.9909866872839883</v>
      </c>
      <c r="AF83" s="8">
        <v>4.9999995880345347</v>
      </c>
      <c r="AG83" s="8">
        <v>4.9999999999812967</v>
      </c>
      <c r="AH83" s="8">
        <v>4.9999999999999991</v>
      </c>
      <c r="AI83" s="8">
        <v>5</v>
      </c>
      <c r="AJ83" s="8">
        <v>5</v>
      </c>
      <c r="AK83" s="8">
        <v>5</v>
      </c>
      <c r="AL83" s="8">
        <v>5</v>
      </c>
      <c r="AM83" s="8">
        <v>5</v>
      </c>
      <c r="AN83" s="8">
        <v>5</v>
      </c>
      <c r="AO83" s="8">
        <v>5</v>
      </c>
      <c r="AP83" s="8">
        <v>5</v>
      </c>
      <c r="AQ83" s="8">
        <v>5</v>
      </c>
    </row>
    <row r="84" spans="16:43" x14ac:dyDescent="0.2">
      <c r="P84" s="8">
        <v>8</v>
      </c>
      <c r="Q84" s="8">
        <v>8</v>
      </c>
      <c r="R84" s="8">
        <v>8</v>
      </c>
      <c r="S84" s="8">
        <v>8</v>
      </c>
      <c r="T84" s="8">
        <v>8</v>
      </c>
      <c r="U84" s="8">
        <v>7.9999999999886704</v>
      </c>
      <c r="V84" s="8">
        <v>7.9999997504237674</v>
      </c>
      <c r="W84" s="8">
        <v>7.9945251486154154</v>
      </c>
      <c r="X84" s="8">
        <v>6.6911661191419851</v>
      </c>
      <c r="Y84" s="8">
        <v>4.9110289580274546</v>
      </c>
      <c r="Z84" s="8">
        <v>3.02175743765729</v>
      </c>
      <c r="AA84" s="8">
        <v>1.9939655921876895</v>
      </c>
      <c r="AB84" s="8">
        <v>0.70192592443709889</v>
      </c>
      <c r="AC84" s="8">
        <v>1.8909509661787904</v>
      </c>
      <c r="AD84" s="8">
        <v>3.6420244909379802</v>
      </c>
      <c r="AE84" s="8">
        <v>4.9933190405603538</v>
      </c>
      <c r="AF84" s="8">
        <v>4.999999695166915</v>
      </c>
      <c r="AG84" s="8">
        <v>4.9999999999861604</v>
      </c>
      <c r="AH84" s="8">
        <v>4.9999999999999991</v>
      </c>
      <c r="AI84" s="8">
        <v>5</v>
      </c>
      <c r="AJ84" s="8">
        <v>5</v>
      </c>
      <c r="AK84" s="8">
        <v>5</v>
      </c>
      <c r="AL84" s="8">
        <v>5</v>
      </c>
      <c r="AM84" s="8">
        <v>5</v>
      </c>
      <c r="AN84" s="8">
        <v>5</v>
      </c>
      <c r="AO84" s="8">
        <v>5</v>
      </c>
      <c r="AP84" s="8">
        <v>5</v>
      </c>
      <c r="AQ84" s="8">
        <v>5</v>
      </c>
    </row>
    <row r="85" spans="16:43" x14ac:dyDescent="0.2">
      <c r="P85" s="8">
        <v>8</v>
      </c>
      <c r="Q85" s="8">
        <v>8</v>
      </c>
      <c r="R85" s="8">
        <v>8</v>
      </c>
      <c r="S85" s="8">
        <v>8</v>
      </c>
      <c r="T85" s="8">
        <v>7.9999999999999751</v>
      </c>
      <c r="U85" s="8">
        <v>7.9999999994407203</v>
      </c>
      <c r="V85" s="8">
        <v>7.9999876811528967</v>
      </c>
      <c r="W85" s="8">
        <v>7.7751312375852439</v>
      </c>
      <c r="X85" s="8">
        <v>5.9784695135982924</v>
      </c>
      <c r="Y85" s="8">
        <v>4.2450546930678907</v>
      </c>
      <c r="Z85" s="8">
        <v>2.7761253312064875</v>
      </c>
      <c r="AA85" s="8">
        <v>1.96426040466956</v>
      </c>
      <c r="AB85" s="8">
        <v>0.50001222776830079</v>
      </c>
      <c r="AC85" s="8">
        <v>1.9784697412881704</v>
      </c>
      <c r="AD85" s="8">
        <v>3.7754547413442818</v>
      </c>
      <c r="AE85" s="8">
        <v>4.9950485487049034</v>
      </c>
      <c r="AF85" s="8">
        <v>4.9999997743704085</v>
      </c>
      <c r="AG85" s="8">
        <v>4.9999999999897566</v>
      </c>
      <c r="AH85" s="8">
        <v>5</v>
      </c>
      <c r="AI85" s="8">
        <v>5</v>
      </c>
      <c r="AJ85" s="8">
        <v>5</v>
      </c>
      <c r="AK85" s="8">
        <v>5</v>
      </c>
      <c r="AL85" s="8">
        <v>5</v>
      </c>
      <c r="AM85" s="8">
        <v>5</v>
      </c>
      <c r="AN85" s="8">
        <v>5</v>
      </c>
      <c r="AO85" s="8">
        <v>5</v>
      </c>
      <c r="AP85" s="8">
        <v>5</v>
      </c>
      <c r="AQ85" s="8">
        <v>5</v>
      </c>
    </row>
    <row r="86" spans="16:43" x14ac:dyDescent="0.2">
      <c r="P86" s="8">
        <v>8</v>
      </c>
      <c r="Q86" s="8">
        <v>8</v>
      </c>
      <c r="R86" s="8">
        <v>8</v>
      </c>
      <c r="S86" s="8">
        <v>8</v>
      </c>
      <c r="T86" s="8">
        <v>7.9999999999987468</v>
      </c>
      <c r="U86" s="8">
        <v>7.9999999723879851</v>
      </c>
      <c r="V86" s="8">
        <v>7.9993920811893933</v>
      </c>
      <c r="W86" s="8">
        <v>6.9927732727655663</v>
      </c>
      <c r="X86" s="8">
        <v>5.4446638450424985</v>
      </c>
      <c r="Y86" s="8">
        <v>3.9322367085942607</v>
      </c>
      <c r="Z86" s="8">
        <v>2.161043026261904</v>
      </c>
      <c r="AA86" s="8">
        <v>1.8100424115754306</v>
      </c>
      <c r="AB86" s="8">
        <v>0.7017738914008016</v>
      </c>
      <c r="AC86" s="8">
        <v>2.0514076299321986</v>
      </c>
      <c r="AD86" s="8">
        <v>3.8668121697631781</v>
      </c>
      <c r="AE86" s="8">
        <v>4.9963307253769464</v>
      </c>
      <c r="AF86" s="8">
        <v>4.9999998329570632</v>
      </c>
      <c r="AG86" s="8">
        <v>4.9999999999924167</v>
      </c>
      <c r="AH86" s="8">
        <v>5</v>
      </c>
      <c r="AI86" s="8">
        <v>5</v>
      </c>
      <c r="AJ86" s="8">
        <v>5</v>
      </c>
      <c r="AK86" s="8">
        <v>5</v>
      </c>
      <c r="AL86" s="8">
        <v>5</v>
      </c>
      <c r="AM86" s="8">
        <v>5</v>
      </c>
      <c r="AN86" s="8">
        <v>5</v>
      </c>
      <c r="AO86" s="8">
        <v>5</v>
      </c>
      <c r="AP86" s="8">
        <v>5</v>
      </c>
      <c r="AQ86" s="8">
        <v>5</v>
      </c>
    </row>
    <row r="87" spans="16:43" x14ac:dyDescent="0.2">
      <c r="P87" s="8">
        <v>8</v>
      </c>
      <c r="Q87" s="8">
        <v>8</v>
      </c>
      <c r="R87" s="8">
        <v>8</v>
      </c>
      <c r="S87" s="8">
        <v>7.9999999999999973</v>
      </c>
      <c r="T87" s="8">
        <v>7.9999999999380993</v>
      </c>
      <c r="U87" s="8">
        <v>7.9999986365503259</v>
      </c>
      <c r="V87" s="8">
        <v>7.9706293552902228</v>
      </c>
      <c r="W87" s="8">
        <v>6.4748508445783468</v>
      </c>
      <c r="X87" s="8">
        <v>4.9690813172519972</v>
      </c>
      <c r="Y87" s="8">
        <v>3.4153866757701135</v>
      </c>
      <c r="Z87" s="8">
        <v>2.0032251229981672</v>
      </c>
      <c r="AA87" s="8">
        <v>1.3566064720198439</v>
      </c>
      <c r="AB87" s="8">
        <v>0.91035408657359529</v>
      </c>
      <c r="AC87" s="8">
        <v>2.1993312965366778</v>
      </c>
      <c r="AD87" s="8">
        <v>3.9241344602394581</v>
      </c>
      <c r="AE87" s="8">
        <v>4.9972810994416204</v>
      </c>
      <c r="AF87" s="8">
        <v>4.9999998763105218</v>
      </c>
      <c r="AG87" s="8">
        <v>4.9999999999943849</v>
      </c>
      <c r="AH87" s="8">
        <v>5</v>
      </c>
      <c r="AI87" s="8">
        <v>5</v>
      </c>
      <c r="AJ87" s="8">
        <v>5</v>
      </c>
      <c r="AK87" s="8">
        <v>5</v>
      </c>
      <c r="AL87" s="8">
        <v>5</v>
      </c>
      <c r="AM87" s="8">
        <v>5</v>
      </c>
      <c r="AN87" s="8">
        <v>5</v>
      </c>
      <c r="AO87" s="8">
        <v>5</v>
      </c>
      <c r="AP87" s="8">
        <v>5</v>
      </c>
      <c r="AQ87" s="8">
        <v>5</v>
      </c>
    </row>
    <row r="88" spans="16:43" x14ac:dyDescent="0.2">
      <c r="P88" s="8">
        <v>8</v>
      </c>
      <c r="Q88" s="8">
        <v>8</v>
      </c>
      <c r="R88" s="8">
        <v>8</v>
      </c>
      <c r="S88" s="8">
        <v>7.9999999999998614</v>
      </c>
      <c r="T88" s="8">
        <v>7.9999999969430391</v>
      </c>
      <c r="U88" s="8">
        <v>7.9999326693447612</v>
      </c>
      <c r="V88" s="8">
        <v>7.328491197699325</v>
      </c>
      <c r="W88" s="8">
        <v>5.9709134013784215</v>
      </c>
      <c r="X88" s="8">
        <v>4.5337122868132047</v>
      </c>
      <c r="Y88" s="8">
        <v>2.9956436001491085</v>
      </c>
      <c r="Z88" s="8">
        <v>1.9996616185009266</v>
      </c>
      <c r="AA88" s="8">
        <v>1.0310240705730904</v>
      </c>
      <c r="AB88" s="8">
        <v>0.98518524647982586</v>
      </c>
      <c r="AC88" s="8">
        <v>2.4454778400945969</v>
      </c>
      <c r="AD88" s="8">
        <v>3.9585293497363123</v>
      </c>
      <c r="AE88" s="8">
        <v>4.9979854386383238</v>
      </c>
      <c r="AF88" s="8">
        <v>4.9999999084009188</v>
      </c>
      <c r="AG88" s="8">
        <v>4.9999999999958415</v>
      </c>
      <c r="AH88" s="8">
        <v>5</v>
      </c>
      <c r="AI88" s="8">
        <v>5</v>
      </c>
      <c r="AJ88" s="8">
        <v>5</v>
      </c>
      <c r="AK88" s="8">
        <v>5</v>
      </c>
      <c r="AL88" s="8">
        <v>5</v>
      </c>
      <c r="AM88" s="8">
        <v>5</v>
      </c>
      <c r="AN88" s="8">
        <v>5</v>
      </c>
      <c r="AO88" s="8">
        <v>5</v>
      </c>
      <c r="AP88" s="8">
        <v>5</v>
      </c>
      <c r="AQ88" s="8">
        <v>5</v>
      </c>
    </row>
    <row r="89" spans="16:43" x14ac:dyDescent="0.2">
      <c r="P89" s="8">
        <v>8</v>
      </c>
      <c r="Q89" s="8">
        <v>8</v>
      </c>
      <c r="R89" s="8">
        <v>8</v>
      </c>
      <c r="S89" s="8">
        <v>7.999999999993145</v>
      </c>
      <c r="T89" s="8">
        <v>7.9999998490181286</v>
      </c>
      <c r="U89" s="8">
        <v>7.9966826666214761</v>
      </c>
      <c r="V89" s="8">
        <v>6.9481799847397712</v>
      </c>
      <c r="W89" s="8">
        <v>5.4753964471516117</v>
      </c>
      <c r="X89" s="8">
        <v>4.0032586113711073</v>
      </c>
      <c r="Y89" s="8">
        <v>2.840638830853687</v>
      </c>
      <c r="Z89" s="8">
        <v>1.9977747528173186</v>
      </c>
      <c r="AA89" s="8">
        <v>0.9662085416025904</v>
      </c>
      <c r="AB89" s="8">
        <v>1.0486478078174888</v>
      </c>
      <c r="AC89" s="8">
        <v>2.6919665437593139</v>
      </c>
      <c r="AD89" s="8">
        <v>3.9791579444889189</v>
      </c>
      <c r="AE89" s="8">
        <v>4.99850738327864</v>
      </c>
      <c r="AF89" s="8">
        <v>4.9999999321594686</v>
      </c>
      <c r="AG89" s="8">
        <v>4.9999999999969198</v>
      </c>
      <c r="AH89" s="8">
        <v>5</v>
      </c>
      <c r="AI89" s="8">
        <v>5</v>
      </c>
      <c r="AJ89" s="8">
        <v>5</v>
      </c>
      <c r="AK89" s="8">
        <v>5</v>
      </c>
      <c r="AL89" s="8">
        <v>5</v>
      </c>
      <c r="AM89" s="8">
        <v>5</v>
      </c>
      <c r="AN89" s="8">
        <v>5</v>
      </c>
      <c r="AO89" s="8">
        <v>5</v>
      </c>
      <c r="AP89" s="8">
        <v>5</v>
      </c>
      <c r="AQ89" s="8">
        <v>5</v>
      </c>
    </row>
    <row r="90" spans="16:43" x14ac:dyDescent="0.2">
      <c r="P90" s="8">
        <v>8</v>
      </c>
      <c r="Q90" s="8">
        <v>8</v>
      </c>
      <c r="R90" s="8">
        <v>7.9999999999999849</v>
      </c>
      <c r="S90" s="8">
        <v>7.9999999996614335</v>
      </c>
      <c r="T90" s="8">
        <v>7.9999925426107312</v>
      </c>
      <c r="U90" s="8">
        <v>7.8539472595094413</v>
      </c>
      <c r="V90" s="8">
        <v>6.2488944417116752</v>
      </c>
      <c r="W90" s="8">
        <v>4.9924061005550389</v>
      </c>
      <c r="X90" s="8">
        <v>3.8539921039968053</v>
      </c>
      <c r="Y90" s="8">
        <v>2.2499996934215809</v>
      </c>
      <c r="Z90" s="8">
        <v>1.9866516412150999</v>
      </c>
      <c r="AA90" s="8">
        <v>0.8598373632242472</v>
      </c>
      <c r="AB90" s="8">
        <v>1.2488953594190018</v>
      </c>
      <c r="AC90" s="8">
        <v>2.8539920538046113</v>
      </c>
      <c r="AD90" s="8">
        <v>3.9924060984917928</v>
      </c>
      <c r="AE90" s="8">
        <v>4.998894136147447</v>
      </c>
      <c r="AF90" s="8">
        <v>4.9999999497522278</v>
      </c>
      <c r="AG90" s="8">
        <v>4.9999999999977192</v>
      </c>
      <c r="AH90" s="8">
        <v>5</v>
      </c>
      <c r="AI90" s="8">
        <v>5</v>
      </c>
      <c r="AJ90" s="8">
        <v>5</v>
      </c>
      <c r="AK90" s="8">
        <v>5</v>
      </c>
      <c r="AL90" s="8">
        <v>5</v>
      </c>
      <c r="AM90" s="8">
        <v>5</v>
      </c>
      <c r="AN90" s="8">
        <v>5</v>
      </c>
      <c r="AO90" s="8">
        <v>5</v>
      </c>
      <c r="AP90" s="8">
        <v>5</v>
      </c>
      <c r="AQ90" s="8">
        <v>5</v>
      </c>
    </row>
    <row r="91" spans="16:43" x14ac:dyDescent="0.2">
      <c r="P91" s="8">
        <v>8</v>
      </c>
      <c r="Q91" s="8">
        <v>8</v>
      </c>
      <c r="R91" s="8">
        <v>7.9999999999992415</v>
      </c>
      <c r="S91" s="8">
        <v>7.9999999832763677</v>
      </c>
      <c r="T91" s="8">
        <v>7.9996317391415479</v>
      </c>
      <c r="U91" s="8">
        <v>7.0358150012534812</v>
      </c>
      <c r="V91" s="8">
        <v>5.9713653154700781</v>
      </c>
      <c r="W91" s="8">
        <v>4.7757016639971974</v>
      </c>
      <c r="X91" s="8">
        <v>3.2016493902542824</v>
      </c>
      <c r="Y91" s="8">
        <v>2.0069139961149678</v>
      </c>
      <c r="Z91" s="8">
        <v>1.9231691059798073</v>
      </c>
      <c r="AA91" s="8">
        <v>0.6067773939670793</v>
      </c>
      <c r="AB91" s="8">
        <v>1.5903854297294482</v>
      </c>
      <c r="AC91" s="8">
        <v>2.9365718075668767</v>
      </c>
      <c r="AD91" s="8">
        <v>4.0025922223809198</v>
      </c>
      <c r="AE91" s="8">
        <v>4.9991806975122373</v>
      </c>
      <c r="AF91" s="8">
        <v>4.9999999627808727</v>
      </c>
      <c r="AG91" s="8">
        <v>4.9999999999983107</v>
      </c>
      <c r="AH91" s="8">
        <v>5</v>
      </c>
      <c r="AI91" s="8">
        <v>5</v>
      </c>
      <c r="AJ91" s="8">
        <v>5</v>
      </c>
      <c r="AK91" s="8">
        <v>5</v>
      </c>
      <c r="AL91" s="8">
        <v>5</v>
      </c>
      <c r="AM91" s="8">
        <v>5</v>
      </c>
      <c r="AN91" s="8">
        <v>5</v>
      </c>
      <c r="AO91" s="8">
        <v>5</v>
      </c>
      <c r="AP91" s="8">
        <v>5</v>
      </c>
      <c r="AQ91" s="8">
        <v>5</v>
      </c>
    </row>
    <row r="92" spans="16:43" x14ac:dyDescent="0.2">
      <c r="P92" s="8">
        <v>8</v>
      </c>
      <c r="Q92" s="8">
        <v>7.9999999999999982</v>
      </c>
      <c r="R92" s="8">
        <v>7.9999999999624949</v>
      </c>
      <c r="S92" s="8">
        <v>7.9999991738998748</v>
      </c>
      <c r="T92" s="8">
        <v>7.982049119048118</v>
      </c>
      <c r="U92" s="8">
        <v>6.8886254518084886</v>
      </c>
      <c r="V92" s="8">
        <v>5.5052029029739202</v>
      </c>
      <c r="W92" s="8">
        <v>4.0706808299951209</v>
      </c>
      <c r="X92" s="8">
        <v>2.9917774950805684</v>
      </c>
      <c r="Y92" s="8">
        <v>2.0000442301838612</v>
      </c>
      <c r="Z92" s="8">
        <v>1.6433493098120049</v>
      </c>
      <c r="AA92" s="8">
        <v>0.52999285968044618</v>
      </c>
      <c r="AB92" s="8">
        <v>1.8405283555292329</v>
      </c>
      <c r="AC92" s="8">
        <v>2.9738759243506516</v>
      </c>
      <c r="AD92" s="8">
        <v>4.0128804438494505</v>
      </c>
      <c r="AE92" s="8">
        <v>4.9993930136921003</v>
      </c>
      <c r="AF92" s="8">
        <v>4.999999972430321</v>
      </c>
      <c r="AG92" s="8">
        <v>4.9999999999987486</v>
      </c>
      <c r="AH92" s="8">
        <v>5</v>
      </c>
      <c r="AI92" s="8">
        <v>5</v>
      </c>
      <c r="AJ92" s="8">
        <v>5</v>
      </c>
      <c r="AK92" s="8">
        <v>5</v>
      </c>
      <c r="AL92" s="8">
        <v>5</v>
      </c>
      <c r="AM92" s="8">
        <v>5</v>
      </c>
      <c r="AN92" s="8">
        <v>5</v>
      </c>
      <c r="AO92" s="8">
        <v>5</v>
      </c>
      <c r="AP92" s="8">
        <v>5</v>
      </c>
      <c r="AQ92" s="8">
        <v>5</v>
      </c>
    </row>
    <row r="93" spans="16:43" x14ac:dyDescent="0.2">
      <c r="P93" s="8">
        <v>8</v>
      </c>
      <c r="Q93" s="8">
        <v>7.9999999999999156</v>
      </c>
      <c r="R93" s="8">
        <v>7.9999999981473113</v>
      </c>
      <c r="S93" s="8">
        <v>7.9999591930651359</v>
      </c>
      <c r="T93" s="8">
        <v>7.4758626909752648</v>
      </c>
      <c r="U93" s="8">
        <v>6.0951154554250477</v>
      </c>
      <c r="V93" s="8">
        <v>5.001977450379715</v>
      </c>
      <c r="W93" s="8">
        <v>3.976208211209824</v>
      </c>
      <c r="X93" s="8">
        <v>2.8886512768179333</v>
      </c>
      <c r="Y93" s="8">
        <v>1.9998650823864115</v>
      </c>
      <c r="Z93" s="8">
        <v>1.1603811188045141</v>
      </c>
      <c r="AA93" s="8">
        <v>0.79001558174022879</v>
      </c>
      <c r="AB93" s="8">
        <v>1.9475677522111483</v>
      </c>
      <c r="AC93" s="8">
        <v>2.9905889740594853</v>
      </c>
      <c r="AD93" s="8">
        <v>4.0259934875879697</v>
      </c>
      <c r="AE93" s="8">
        <v>4.9995503158487482</v>
      </c>
      <c r="AF93" s="8">
        <v>4.9999999795774865</v>
      </c>
      <c r="AG93" s="8">
        <v>4.9999999999990727</v>
      </c>
      <c r="AH93" s="8">
        <v>5</v>
      </c>
      <c r="AI93" s="8">
        <v>5</v>
      </c>
      <c r="AJ93" s="8">
        <v>5</v>
      </c>
      <c r="AK93" s="8">
        <v>5</v>
      </c>
      <c r="AL93" s="8">
        <v>5</v>
      </c>
      <c r="AM93" s="8">
        <v>5</v>
      </c>
      <c r="AN93" s="8">
        <v>5</v>
      </c>
      <c r="AO93" s="8">
        <v>5</v>
      </c>
      <c r="AP93" s="8">
        <v>5</v>
      </c>
      <c r="AQ93" s="8">
        <v>5</v>
      </c>
    </row>
    <row r="94" spans="16:43" x14ac:dyDescent="0.2">
      <c r="P94" s="8">
        <v>8</v>
      </c>
      <c r="Q94" s="8">
        <v>7.9999999999958451</v>
      </c>
      <c r="R94" s="8">
        <v>7.9999999084779843</v>
      </c>
      <c r="S94" s="8">
        <v>7.997987136125948</v>
      </c>
      <c r="T94" s="8">
        <v>6.9945020970259346</v>
      </c>
      <c r="U94" s="8">
        <v>5.9735479514562568</v>
      </c>
      <c r="V94" s="8">
        <v>4.9073919978363838</v>
      </c>
      <c r="W94" s="8">
        <v>3.7148689557751489</v>
      </c>
      <c r="X94" s="8">
        <v>2.358426938890779</v>
      </c>
      <c r="Y94" s="8">
        <v>1.9991809014898023</v>
      </c>
      <c r="Z94" s="8">
        <v>1.0069523026625411</v>
      </c>
      <c r="AA94" s="8">
        <v>0.94312405174229264</v>
      </c>
      <c r="AB94" s="8">
        <v>1.9841323810938478</v>
      </c>
      <c r="AC94" s="8">
        <v>3.0003086848601699</v>
      </c>
      <c r="AD94" s="8">
        <v>4.0446450652571304</v>
      </c>
      <c r="AE94" s="8">
        <v>4.9996668561011246</v>
      </c>
      <c r="AF94" s="8">
        <v>4.9999999848715113</v>
      </c>
      <c r="AG94" s="8">
        <v>4.9999999999993125</v>
      </c>
      <c r="AH94" s="8">
        <v>5</v>
      </c>
      <c r="AI94" s="8">
        <v>5</v>
      </c>
      <c r="AJ94" s="8">
        <v>5</v>
      </c>
      <c r="AK94" s="8">
        <v>5</v>
      </c>
      <c r="AL94" s="8">
        <v>5</v>
      </c>
      <c r="AM94" s="8">
        <v>5</v>
      </c>
      <c r="AN94" s="8">
        <v>5</v>
      </c>
      <c r="AO94" s="8">
        <v>5</v>
      </c>
      <c r="AP94" s="8">
        <v>5</v>
      </c>
      <c r="AQ94" s="8">
        <v>5</v>
      </c>
    </row>
    <row r="95" spans="16:43" x14ac:dyDescent="0.2">
      <c r="P95" s="8">
        <v>7.9999999999999911</v>
      </c>
      <c r="Q95" s="8">
        <v>7.9999999997947375</v>
      </c>
      <c r="R95" s="8">
        <v>7.9999954787985503</v>
      </c>
      <c r="S95" s="8">
        <v>7.9073851772633681</v>
      </c>
      <c r="T95" s="8">
        <v>6.7757709159010799</v>
      </c>
      <c r="U95" s="8">
        <v>5.5343559529648205</v>
      </c>
      <c r="V95" s="8">
        <v>4.2497532108405114</v>
      </c>
      <c r="W95" s="8">
        <v>3.0716589023780374</v>
      </c>
      <c r="X95" s="8">
        <v>2.0142091117994609</v>
      </c>
      <c r="Y95" s="8">
        <v>1.9950602557854893</v>
      </c>
      <c r="Z95" s="8">
        <v>0.98702739040791154</v>
      </c>
      <c r="AA95" s="8">
        <v>0.98702739041302068</v>
      </c>
      <c r="AB95" s="8">
        <v>1.9973094692321443</v>
      </c>
      <c r="AC95" s="8">
        <v>3.0123878394249388</v>
      </c>
      <c r="AD95" s="8">
        <v>4.0716588175183208</v>
      </c>
      <c r="AE95" s="8">
        <v>4.9997531956105306</v>
      </c>
      <c r="AF95" s="8">
        <v>4.9999999887930242</v>
      </c>
      <c r="AG95" s="8">
        <v>4.9999999999994911</v>
      </c>
      <c r="AH95" s="8">
        <v>5</v>
      </c>
      <c r="AI95" s="8">
        <v>5</v>
      </c>
      <c r="AJ95" s="8">
        <v>5</v>
      </c>
      <c r="AK95" s="8">
        <v>5</v>
      </c>
      <c r="AL95" s="8">
        <v>5</v>
      </c>
      <c r="AM95" s="8">
        <v>5</v>
      </c>
      <c r="AN95" s="8">
        <v>5</v>
      </c>
      <c r="AO95" s="8">
        <v>5</v>
      </c>
      <c r="AP95" s="8">
        <v>5</v>
      </c>
      <c r="AQ95" s="8">
        <v>5</v>
      </c>
    </row>
  </sheetData>
  <mergeCells count="2">
    <mergeCell ref="O25:AQ25"/>
    <mergeCell ref="N27:N57"/>
  </mergeCells>
  <conditionalFormatting sqref="C4:C16">
    <cfRule type="cellIs" dxfId="11" priority="6" operator="equal">
      <formula>"Yes"</formula>
    </cfRule>
    <cfRule type="cellIs" dxfId="10" priority="7" operator="equal">
      <formula>"No"</formula>
    </cfRule>
  </conditionalFormatting>
  <conditionalFormatting sqref="D4:D16">
    <cfRule type="cellIs" dxfId="9" priority="4" operator="equal">
      <formula>1</formula>
    </cfRule>
    <cfRule type="cellIs" dxfId="8" priority="5" operator="equal">
      <formula>0</formula>
    </cfRule>
  </conditionalFormatting>
  <conditionalFormatting sqref="G4:G1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{1BBA8F2E-02AB-4208-A5C1-76424BE12529}</x14:id>
        </ext>
      </extLst>
    </cfRule>
  </conditionalFormatting>
  <conditionalFormatting sqref="P27:AQ5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70:AD76 AC73:AC86 AB77:AB95 AA82:AA95 Z86:Z95 Y91:Y95 X92:X9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Scroll Bar 1">
              <controlPr defaultSize="0" autoPict="0">
                <anchor moveWithCells="1">
                  <from>
                    <xdr:col>7</xdr:col>
                    <xdr:colOff>139700</xdr:colOff>
                    <xdr:row>2</xdr:row>
                    <xdr:rowOff>203200</xdr:rowOff>
                  </from>
                  <to>
                    <xdr:col>7</xdr:col>
                    <xdr:colOff>482600</xdr:colOff>
                    <xdr:row>17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Scroll Bar 2">
              <controlPr defaultSize="0" autoPict="0">
                <anchor moveWithCells="1">
                  <from>
                    <xdr:col>8</xdr:col>
                    <xdr:colOff>101600</xdr:colOff>
                    <xdr:row>2</xdr:row>
                    <xdr:rowOff>215900</xdr:rowOff>
                  </from>
                  <to>
                    <xdr:col>8</xdr:col>
                    <xdr:colOff>444500</xdr:colOff>
                    <xdr:row>17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BBA8F2E-02AB-4208-A5C1-76424BE125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G4:G16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N78"/>
  <sheetViews>
    <sheetView topLeftCell="A2" zoomScale="90" zoomScaleNormal="90" workbookViewId="0">
      <selection activeCell="D21" sqref="D21"/>
    </sheetView>
  </sheetViews>
  <sheetFormatPr baseColWidth="10" defaultColWidth="8.83203125" defaultRowHeight="15" x14ac:dyDescent="0.2"/>
  <cols>
    <col min="1" max="1" width="2.83203125" customWidth="1"/>
    <col min="2" max="2" width="13.6640625" customWidth="1"/>
    <col min="3" max="3" width="11.33203125" bestFit="1" customWidth="1"/>
    <col min="4" max="4" width="15.6640625" bestFit="1" customWidth="1"/>
    <col min="5" max="5" width="2.5" customWidth="1"/>
    <col min="6" max="6" width="6.6640625" bestFit="1" customWidth="1"/>
    <col min="7" max="8" width="8.1640625" customWidth="1"/>
    <col min="9" max="9" width="8" customWidth="1"/>
    <col min="10" max="10" width="5.1640625" customWidth="1"/>
    <col min="18" max="18" width="8.33203125" customWidth="1"/>
    <col min="19" max="47" width="5.5" customWidth="1"/>
  </cols>
  <sheetData>
    <row r="1" spans="2:14" ht="21" x14ac:dyDescent="0.25">
      <c r="K1" s="30" t="s">
        <v>8</v>
      </c>
      <c r="L1" s="31" t="s">
        <v>9</v>
      </c>
    </row>
    <row r="2" spans="2:14" ht="22" thickBot="1" x14ac:dyDescent="0.25">
      <c r="K2" s="24">
        <f>-20+N9/2</f>
        <v>-7.5</v>
      </c>
      <c r="L2" s="25">
        <f>N10/25</f>
        <v>1.52</v>
      </c>
    </row>
    <row r="3" spans="2:14" ht="33" thickBot="1" x14ac:dyDescent="0.25">
      <c r="B3" s="4" t="s">
        <v>3</v>
      </c>
      <c r="C3" s="5" t="s">
        <v>2</v>
      </c>
      <c r="D3" s="6" t="s">
        <v>2</v>
      </c>
      <c r="F3" s="38" t="s">
        <v>1</v>
      </c>
      <c r="G3" s="39" t="s">
        <v>13</v>
      </c>
      <c r="H3" s="39" t="s">
        <v>14</v>
      </c>
      <c r="I3" s="40" t="s">
        <v>15</v>
      </c>
    </row>
    <row r="4" spans="2:14" ht="20.5" customHeight="1" x14ac:dyDescent="0.2">
      <c r="B4" s="49">
        <v>1</v>
      </c>
      <c r="C4" s="12" t="s">
        <v>5</v>
      </c>
      <c r="D4" s="17">
        <f>IF(C4="No",0,1)</f>
        <v>0</v>
      </c>
      <c r="F4" s="41">
        <f t="shared" ref="F4:F16" si="0">Sigmoid($L$2*B4+$K$2)</f>
        <v>2.5224474607696942E-3</v>
      </c>
      <c r="G4" s="36">
        <f>-LN(F4)</f>
        <v>5.9825256341914015</v>
      </c>
      <c r="H4" s="36">
        <f>-LN(1-F4)</f>
        <v>2.5256341914008957E-3</v>
      </c>
      <c r="I4" s="42">
        <f>IF(D4=1,G4,H4)</f>
        <v>2.5256341914008957E-3</v>
      </c>
    </row>
    <row r="5" spans="2:14" ht="20.5" customHeight="1" x14ac:dyDescent="0.2">
      <c r="B5" s="50">
        <v>2</v>
      </c>
      <c r="C5" s="14" t="s">
        <v>5</v>
      </c>
      <c r="D5" s="18">
        <f t="shared" ref="D5:D16" si="1">IF(C5="No",0,1)</f>
        <v>0</v>
      </c>
      <c r="F5" s="41">
        <f t="shared" si="0"/>
        <v>1.1430203126470723E-2</v>
      </c>
      <c r="G5" s="36">
        <f t="shared" ref="G5:G16" si="2">-LN(F5)</f>
        <v>4.4714960299885558</v>
      </c>
      <c r="H5" s="36">
        <f t="shared" ref="H5:H16" si="3">-LN(1-F5)</f>
        <v>1.149602998855608E-2</v>
      </c>
      <c r="I5" s="42">
        <f t="shared" ref="I5:I16" si="4">IF(D5=1,G5,H5)</f>
        <v>1.149602998855608E-2</v>
      </c>
    </row>
    <row r="6" spans="2:14" ht="20.5" customHeight="1" x14ac:dyDescent="0.2">
      <c r="B6" s="50">
        <v>3</v>
      </c>
      <c r="C6" s="14" t="s">
        <v>5</v>
      </c>
      <c r="D6" s="18">
        <f t="shared" si="1"/>
        <v>0</v>
      </c>
      <c r="F6" s="41">
        <f t="shared" si="0"/>
        <v>5.0211273190266553E-2</v>
      </c>
      <c r="G6" s="36">
        <f t="shared" si="2"/>
        <v>2.9915157119523625</v>
      </c>
      <c r="H6" s="36">
        <f t="shared" si="3"/>
        <v>5.1515711952362889E-2</v>
      </c>
      <c r="I6" s="42">
        <f t="shared" si="4"/>
        <v>5.1515711952362889E-2</v>
      </c>
    </row>
    <row r="7" spans="2:14" ht="20.5" customHeight="1" x14ac:dyDescent="0.2">
      <c r="B7" s="50">
        <v>4</v>
      </c>
      <c r="C7" s="14" t="s">
        <v>5</v>
      </c>
      <c r="D7" s="18">
        <f t="shared" si="1"/>
        <v>0</v>
      </c>
      <c r="F7" s="41">
        <f t="shared" si="0"/>
        <v>0.19466158359157792</v>
      </c>
      <c r="G7" s="36">
        <f t="shared" si="2"/>
        <v>1.6364926968500355</v>
      </c>
      <c r="H7" s="36">
        <f t="shared" si="3"/>
        <v>0.21649269685003553</v>
      </c>
      <c r="I7" s="42">
        <f t="shared" si="4"/>
        <v>0.21649269685003553</v>
      </c>
    </row>
    <row r="8" spans="2:14" ht="20.5" customHeight="1" thickBot="1" x14ac:dyDescent="0.25">
      <c r="B8" s="50">
        <v>4.8</v>
      </c>
      <c r="C8" s="14" t="s">
        <v>4</v>
      </c>
      <c r="D8" s="18">
        <f t="shared" si="1"/>
        <v>1</v>
      </c>
      <c r="F8" s="41">
        <f t="shared" si="0"/>
        <v>0.44917613503274589</v>
      </c>
      <c r="G8" s="36">
        <f t="shared" si="2"/>
        <v>0.8003401852390023</v>
      </c>
      <c r="H8" s="36">
        <f t="shared" si="3"/>
        <v>0.59634018523900179</v>
      </c>
      <c r="I8" s="42">
        <f t="shared" si="4"/>
        <v>0.8003401852390023</v>
      </c>
    </row>
    <row r="9" spans="2:14" ht="20.5" customHeight="1" x14ac:dyDescent="0.2">
      <c r="B9" s="50">
        <v>6</v>
      </c>
      <c r="C9" s="14" t="s">
        <v>4</v>
      </c>
      <c r="D9" s="18">
        <f t="shared" si="1"/>
        <v>1</v>
      </c>
      <c r="F9" s="41">
        <f t="shared" si="0"/>
        <v>0.83479512980938553</v>
      </c>
      <c r="G9" s="36">
        <f t="shared" si="2"/>
        <v>0.18056893775707505</v>
      </c>
      <c r="H9" s="36">
        <f t="shared" si="3"/>
        <v>1.8005689377570762</v>
      </c>
      <c r="I9" s="42">
        <f t="shared" si="4"/>
        <v>0.18056893775707505</v>
      </c>
      <c r="N9" s="20">
        <v>25</v>
      </c>
    </row>
    <row r="10" spans="2:14" ht="20.5" customHeight="1" thickBot="1" x14ac:dyDescent="0.25">
      <c r="B10" s="50">
        <v>5.2</v>
      </c>
      <c r="C10" s="14" t="s">
        <v>5</v>
      </c>
      <c r="D10" s="18">
        <f t="shared" si="1"/>
        <v>0</v>
      </c>
      <c r="F10" s="41">
        <f t="shared" si="0"/>
        <v>0.59964832259240608</v>
      </c>
      <c r="G10" s="36">
        <f t="shared" si="2"/>
        <v>0.51141192461940743</v>
      </c>
      <c r="H10" s="36">
        <f t="shared" si="3"/>
        <v>0.91541192461940812</v>
      </c>
      <c r="I10" s="42">
        <f t="shared" si="4"/>
        <v>0.91541192461940812</v>
      </c>
      <c r="N10" s="21">
        <v>38</v>
      </c>
    </row>
    <row r="11" spans="2:14" ht="20.5" customHeight="1" x14ac:dyDescent="0.2">
      <c r="B11" s="50">
        <v>8</v>
      </c>
      <c r="C11" s="14" t="s">
        <v>4</v>
      </c>
      <c r="D11" s="18">
        <f t="shared" si="1"/>
        <v>1</v>
      </c>
      <c r="F11" s="41">
        <f t="shared" si="0"/>
        <v>0.99062231113732313</v>
      </c>
      <c r="G11" s="36">
        <f t="shared" si="2"/>
        <v>9.4219362295021696E-3</v>
      </c>
      <c r="H11" s="36">
        <f t="shared" si="3"/>
        <v>4.6694219362295009</v>
      </c>
      <c r="I11" s="42">
        <f t="shared" si="4"/>
        <v>9.4219362295021696E-3</v>
      </c>
    </row>
    <row r="12" spans="2:14" ht="20.5" customHeight="1" x14ac:dyDescent="0.2">
      <c r="B12" s="50">
        <v>9</v>
      </c>
      <c r="C12" s="14" t="s">
        <v>4</v>
      </c>
      <c r="D12" s="18">
        <f t="shared" si="1"/>
        <v>1</v>
      </c>
      <c r="F12" s="41">
        <f t="shared" si="0"/>
        <v>0.99793384995995449</v>
      </c>
      <c r="G12" s="36">
        <f t="shared" si="2"/>
        <v>2.0682874727180538E-3</v>
      </c>
      <c r="H12" s="36">
        <f t="shared" si="3"/>
        <v>6.1820682874727044</v>
      </c>
      <c r="I12" s="42">
        <f t="shared" si="4"/>
        <v>2.0682874727180538E-3</v>
      </c>
    </row>
    <row r="13" spans="2:14" ht="20.5" customHeight="1" x14ac:dyDescent="0.2">
      <c r="B13" s="50">
        <v>10</v>
      </c>
      <c r="C13" s="14" t="s">
        <v>4</v>
      </c>
      <c r="D13" s="18">
        <f t="shared" si="1"/>
        <v>1</v>
      </c>
      <c r="F13" s="41">
        <f t="shared" si="0"/>
        <v>0.9995473777767595</v>
      </c>
      <c r="G13" s="36">
        <f t="shared" si="2"/>
        <v>4.5272468759857774E-4</v>
      </c>
      <c r="H13" s="36">
        <f t="shared" si="3"/>
        <v>7.7004527246876862</v>
      </c>
      <c r="I13" s="42">
        <f t="shared" si="4"/>
        <v>4.5272468759857774E-4</v>
      </c>
    </row>
    <row r="14" spans="2:14" ht="20.5" customHeight="1" x14ac:dyDescent="0.2">
      <c r="B14" s="50">
        <v>11</v>
      </c>
      <c r="C14" s="14" t="s">
        <v>4</v>
      </c>
      <c r="D14" s="18">
        <f t="shared" si="1"/>
        <v>1</v>
      </c>
      <c r="F14" s="41">
        <f t="shared" si="0"/>
        <v>0.99990097112005794</v>
      </c>
      <c r="G14" s="36">
        <f t="shared" si="2"/>
        <v>9.9033783625336128E-5</v>
      </c>
      <c r="H14" s="36">
        <f t="shared" si="3"/>
        <v>9.2200990337841819</v>
      </c>
      <c r="I14" s="42">
        <f t="shared" si="4"/>
        <v>9.9033783625336128E-5</v>
      </c>
    </row>
    <row r="15" spans="2:14" ht="20.5" customHeight="1" x14ac:dyDescent="0.2">
      <c r="B15" s="50">
        <v>12</v>
      </c>
      <c r="C15" s="14" t="s">
        <v>4</v>
      </c>
      <c r="D15" s="18">
        <f t="shared" si="1"/>
        <v>1</v>
      </c>
      <c r="F15" s="41">
        <f t="shared" si="0"/>
        <v>0.99997833953093274</v>
      </c>
      <c r="G15" s="36">
        <f t="shared" si="2"/>
        <v>2.1660703658611619E-5</v>
      </c>
      <c r="H15" s="36">
        <f t="shared" si="3"/>
        <v>10.740021660704219</v>
      </c>
      <c r="I15" s="42">
        <f t="shared" si="4"/>
        <v>2.1660703658611619E-5</v>
      </c>
    </row>
    <row r="16" spans="2:14" ht="20.5" customHeight="1" thickBot="1" x14ac:dyDescent="0.25">
      <c r="B16" s="51">
        <v>13</v>
      </c>
      <c r="C16" s="16" t="s">
        <v>4</v>
      </c>
      <c r="D16" s="19">
        <f t="shared" si="1"/>
        <v>1</v>
      </c>
      <c r="F16" s="43">
        <f t="shared" si="0"/>
        <v>0.99999526251776527</v>
      </c>
      <c r="G16" s="36">
        <f t="shared" si="2"/>
        <v>4.737493456633434E-6</v>
      </c>
      <c r="H16" s="36">
        <f t="shared" si="3"/>
        <v>12.260004737488032</v>
      </c>
      <c r="I16" s="44">
        <f t="shared" si="4"/>
        <v>4.737493456633434E-6</v>
      </c>
    </row>
    <row r="18" spans="1:9" ht="20" thickBot="1" x14ac:dyDescent="0.3">
      <c r="I18" s="47">
        <f>SUM(I4:J16)</f>
        <v>2.1904195009684004</v>
      </c>
    </row>
    <row r="20" spans="1:9" ht="21" customHeight="1" x14ac:dyDescent="0.2"/>
    <row r="21" spans="1:9" ht="21" customHeight="1" x14ac:dyDescent="0.2"/>
    <row r="25" spans="1:9" x14ac:dyDescent="0.2">
      <c r="A25" t="s">
        <v>0</v>
      </c>
      <c r="B25">
        <v>0.5</v>
      </c>
    </row>
    <row r="27" spans="1:9" x14ac:dyDescent="0.2">
      <c r="B27" s="9" t="s">
        <v>6</v>
      </c>
      <c r="C27" s="9" t="s">
        <v>7</v>
      </c>
      <c r="D27" s="9" t="s">
        <v>10</v>
      </c>
    </row>
    <row r="28" spans="1:9" x14ac:dyDescent="0.2">
      <c r="B28" s="26">
        <v>-2</v>
      </c>
      <c r="C28" s="7">
        <f>Sigmoid(B28)</f>
        <v>0.11920292202211755</v>
      </c>
      <c r="D28" s="3">
        <f t="shared" ref="D28:D78" si="5">Sigmoid($L$2*B28+$K$2)</f>
        <v>2.6456029786960227E-5</v>
      </c>
    </row>
    <row r="29" spans="1:9" x14ac:dyDescent="0.2">
      <c r="B29" s="2">
        <f>B28+$B$25</f>
        <v>-1.5</v>
      </c>
      <c r="C29" s="7">
        <f>Sigmoid(B29)</f>
        <v>0.18242552380635635</v>
      </c>
      <c r="D29" s="3">
        <f t="shared" si="5"/>
        <v>5.6568595860266094E-5</v>
      </c>
    </row>
    <row r="30" spans="1:9" x14ac:dyDescent="0.2">
      <c r="B30" s="2">
        <f t="shared" ref="B30:B78" si="6">B29+$B$25</f>
        <v>-1</v>
      </c>
      <c r="C30" s="7">
        <f t="shared" ref="C30:C78" si="7">Sigmoid(B30)</f>
        <v>0.2689414213699951</v>
      </c>
      <c r="D30" s="3">
        <f t="shared" si="5"/>
        <v>1.2095149520497219E-4</v>
      </c>
    </row>
    <row r="31" spans="1:9" x14ac:dyDescent="0.2">
      <c r="B31" s="2">
        <f t="shared" si="6"/>
        <v>-0.5</v>
      </c>
      <c r="C31" s="7">
        <f t="shared" si="7"/>
        <v>0.37754066879814541</v>
      </c>
      <c r="D31" s="3">
        <f t="shared" si="5"/>
        <v>2.5859210404929211E-4</v>
      </c>
    </row>
    <row r="32" spans="1:9" x14ac:dyDescent="0.2">
      <c r="B32" s="2">
        <f t="shared" si="6"/>
        <v>0</v>
      </c>
      <c r="C32" s="7">
        <f t="shared" si="7"/>
        <v>0.5</v>
      </c>
      <c r="D32" s="3">
        <f t="shared" si="5"/>
        <v>5.5277863692359955E-4</v>
      </c>
    </row>
    <row r="33" spans="2:4" x14ac:dyDescent="0.2">
      <c r="B33" s="2">
        <f t="shared" si="6"/>
        <v>0.5</v>
      </c>
      <c r="C33" s="7">
        <f t="shared" si="7"/>
        <v>0.62245933120185459</v>
      </c>
      <c r="D33" s="3">
        <f t="shared" si="5"/>
        <v>1.1812501544791263E-3</v>
      </c>
    </row>
    <row r="34" spans="2:4" x14ac:dyDescent="0.2">
      <c r="B34" s="2">
        <f t="shared" si="6"/>
        <v>1</v>
      </c>
      <c r="C34" s="7">
        <f t="shared" si="7"/>
        <v>0.7310585786300049</v>
      </c>
      <c r="D34" s="3">
        <f t="shared" si="5"/>
        <v>2.5224474607696942E-3</v>
      </c>
    </row>
    <row r="35" spans="2:4" x14ac:dyDescent="0.2">
      <c r="B35" s="2">
        <f t="shared" si="6"/>
        <v>1.5</v>
      </c>
      <c r="C35" s="7">
        <f t="shared" si="7"/>
        <v>0.81757447619364365</v>
      </c>
      <c r="D35" s="3">
        <f t="shared" si="5"/>
        <v>5.3782471738486092E-3</v>
      </c>
    </row>
    <row r="36" spans="2:4" x14ac:dyDescent="0.2">
      <c r="B36" s="2">
        <f t="shared" si="6"/>
        <v>2</v>
      </c>
      <c r="C36" s="7">
        <f t="shared" si="7"/>
        <v>0.88079707797788243</v>
      </c>
      <c r="D36" s="3">
        <f t="shared" si="5"/>
        <v>1.1430203126470723E-2</v>
      </c>
    </row>
    <row r="37" spans="2:4" x14ac:dyDescent="0.2">
      <c r="B37" s="2">
        <f t="shared" si="6"/>
        <v>2.5</v>
      </c>
      <c r="C37" s="7">
        <f t="shared" si="7"/>
        <v>0.92414181997875644</v>
      </c>
      <c r="D37" s="3">
        <f t="shared" si="5"/>
        <v>2.4127021417669196E-2</v>
      </c>
    </row>
    <row r="38" spans="2:4" x14ac:dyDescent="0.2">
      <c r="B38" s="2">
        <f t="shared" si="6"/>
        <v>3</v>
      </c>
      <c r="C38" s="7">
        <f t="shared" si="7"/>
        <v>0.95257412682243325</v>
      </c>
      <c r="D38" s="3">
        <f t="shared" si="5"/>
        <v>5.0211273190266553E-2</v>
      </c>
    </row>
    <row r="39" spans="2:4" x14ac:dyDescent="0.2">
      <c r="B39" s="2">
        <f t="shared" si="6"/>
        <v>3.5</v>
      </c>
      <c r="C39" s="7">
        <f t="shared" si="7"/>
        <v>0.97068776924864364</v>
      </c>
      <c r="D39" s="3">
        <f t="shared" si="5"/>
        <v>0.10156092789763668</v>
      </c>
    </row>
    <row r="40" spans="2:4" x14ac:dyDescent="0.2">
      <c r="B40" s="2">
        <f t="shared" si="6"/>
        <v>4</v>
      </c>
      <c r="C40" s="7">
        <f t="shared" si="7"/>
        <v>0.98201379003790845</v>
      </c>
      <c r="D40" s="3">
        <f t="shared" si="5"/>
        <v>0.19466158359157792</v>
      </c>
    </row>
    <row r="41" spans="2:4" x14ac:dyDescent="0.2">
      <c r="B41" s="2">
        <f t="shared" si="6"/>
        <v>4.5</v>
      </c>
      <c r="C41" s="7">
        <f t="shared" si="7"/>
        <v>0.98901305736940681</v>
      </c>
      <c r="D41" s="3">
        <f t="shared" si="5"/>
        <v>0.34073961154861454</v>
      </c>
    </row>
    <row r="42" spans="2:4" x14ac:dyDescent="0.2">
      <c r="B42" s="2">
        <f t="shared" si="6"/>
        <v>5</v>
      </c>
      <c r="C42" s="7">
        <f t="shared" si="7"/>
        <v>0.99330714907571516</v>
      </c>
      <c r="D42" s="3">
        <f t="shared" si="5"/>
        <v>0.5249791874789399</v>
      </c>
    </row>
    <row r="43" spans="2:4" x14ac:dyDescent="0.2">
      <c r="B43" s="2">
        <f t="shared" si="6"/>
        <v>5.5</v>
      </c>
      <c r="C43" s="7">
        <f t="shared" si="7"/>
        <v>0.99592986228410385</v>
      </c>
      <c r="D43" s="3">
        <f t="shared" si="5"/>
        <v>0.70266065434473135</v>
      </c>
    </row>
    <row r="44" spans="2:4" x14ac:dyDescent="0.2">
      <c r="B44" s="2">
        <f t="shared" si="6"/>
        <v>6</v>
      </c>
      <c r="C44" s="7">
        <f t="shared" si="7"/>
        <v>0.99752737684336523</v>
      </c>
      <c r="D44" s="3">
        <f t="shared" si="5"/>
        <v>0.83479512980938553</v>
      </c>
    </row>
    <row r="45" spans="2:4" x14ac:dyDescent="0.2">
      <c r="B45" s="2">
        <f t="shared" si="6"/>
        <v>6.5</v>
      </c>
      <c r="C45" s="7">
        <f t="shared" si="7"/>
        <v>0.99849881774326299</v>
      </c>
      <c r="D45" s="3">
        <f t="shared" si="5"/>
        <v>0.91528943426926423</v>
      </c>
    </row>
    <row r="46" spans="2:4" x14ac:dyDescent="0.2">
      <c r="B46" s="2">
        <f t="shared" si="6"/>
        <v>7</v>
      </c>
      <c r="C46" s="7">
        <f t="shared" si="7"/>
        <v>0.9990889488055994</v>
      </c>
      <c r="D46" s="3">
        <f t="shared" si="5"/>
        <v>0.9585128806983042</v>
      </c>
    </row>
    <row r="47" spans="2:4" x14ac:dyDescent="0.2">
      <c r="B47" s="2">
        <f t="shared" si="6"/>
        <v>7.5</v>
      </c>
      <c r="C47" s="7">
        <f t="shared" si="7"/>
        <v>0.9994472213630764</v>
      </c>
      <c r="D47" s="3">
        <f t="shared" si="5"/>
        <v>0.98015969426592253</v>
      </c>
    </row>
    <row r="48" spans="2:4" x14ac:dyDescent="0.2">
      <c r="B48" s="2">
        <f t="shared" si="6"/>
        <v>8</v>
      </c>
      <c r="C48" s="7">
        <f t="shared" si="7"/>
        <v>0.99966464986953352</v>
      </c>
      <c r="D48" s="3">
        <f t="shared" si="5"/>
        <v>0.99062231113732313</v>
      </c>
    </row>
    <row r="49" spans="2:4" x14ac:dyDescent="0.2">
      <c r="B49" s="2">
        <f t="shared" si="6"/>
        <v>8.5</v>
      </c>
      <c r="C49" s="7">
        <f t="shared" si="7"/>
        <v>0.9997965730219448</v>
      </c>
      <c r="D49" s="3">
        <f t="shared" si="5"/>
        <v>0.99559236659163719</v>
      </c>
    </row>
    <row r="50" spans="2:4" x14ac:dyDescent="0.2">
      <c r="B50" s="2">
        <f t="shared" si="6"/>
        <v>9</v>
      </c>
      <c r="C50" s="7">
        <f t="shared" si="7"/>
        <v>0.9998766054240138</v>
      </c>
      <c r="D50" s="3">
        <f t="shared" si="5"/>
        <v>0.99793384995995449</v>
      </c>
    </row>
    <row r="51" spans="2:4" x14ac:dyDescent="0.2">
      <c r="B51" s="2">
        <f t="shared" si="6"/>
        <v>9.5</v>
      </c>
      <c r="C51" s="7">
        <f t="shared" si="7"/>
        <v>0.99992515377248936</v>
      </c>
      <c r="D51" s="3">
        <f t="shared" si="5"/>
        <v>0.99903266704193228</v>
      </c>
    </row>
    <row r="52" spans="2:4" x14ac:dyDescent="0.2">
      <c r="B52" s="2">
        <f t="shared" si="6"/>
        <v>10</v>
      </c>
      <c r="C52" s="7">
        <f t="shared" si="7"/>
        <v>0.99995460213129761</v>
      </c>
      <c r="D52" s="3">
        <f t="shared" si="5"/>
        <v>0.9995473777767595</v>
      </c>
    </row>
    <row r="53" spans="2:4" x14ac:dyDescent="0.2">
      <c r="B53" s="2">
        <f t="shared" si="6"/>
        <v>10.5</v>
      </c>
      <c r="C53" s="7">
        <f t="shared" si="7"/>
        <v>0.99997246430888542</v>
      </c>
      <c r="D53" s="3">
        <f t="shared" si="5"/>
        <v>0.99978827276724092</v>
      </c>
    </row>
    <row r="54" spans="2:4" x14ac:dyDescent="0.2">
      <c r="B54" s="2">
        <f t="shared" si="6"/>
        <v>11</v>
      </c>
      <c r="C54" s="7">
        <f t="shared" si="7"/>
        <v>0.99998329857815194</v>
      </c>
      <c r="D54" s="3">
        <f t="shared" si="5"/>
        <v>0.99990097112005794</v>
      </c>
    </row>
    <row r="55" spans="2:4" x14ac:dyDescent="0.2">
      <c r="B55" s="2">
        <f t="shared" si="6"/>
        <v>11.5</v>
      </c>
      <c r="C55" s="7">
        <f t="shared" si="7"/>
        <v>0.99998987000901918</v>
      </c>
      <c r="D55" s="3">
        <f t="shared" si="5"/>
        <v>0.99995368507599069</v>
      </c>
    </row>
    <row r="56" spans="2:4" x14ac:dyDescent="0.2">
      <c r="B56" s="2">
        <f t="shared" si="6"/>
        <v>12</v>
      </c>
      <c r="C56" s="7">
        <f t="shared" si="7"/>
        <v>0.99999385582539779</v>
      </c>
      <c r="D56" s="3">
        <f t="shared" si="5"/>
        <v>0.99997833953093274</v>
      </c>
    </row>
    <row r="57" spans="2:4" x14ac:dyDescent="0.2">
      <c r="B57" s="2">
        <f t="shared" si="6"/>
        <v>12.5</v>
      </c>
      <c r="C57" s="7">
        <f t="shared" si="7"/>
        <v>0.99999627336071584</v>
      </c>
      <c r="D57" s="3">
        <f t="shared" si="5"/>
        <v>0.99998987000901918</v>
      </c>
    </row>
    <row r="58" spans="2:4" x14ac:dyDescent="0.2">
      <c r="B58" s="2">
        <f t="shared" si="6"/>
        <v>13</v>
      </c>
      <c r="C58" s="7">
        <f t="shared" si="7"/>
        <v>0.99999773967570205</v>
      </c>
      <c r="D58" s="3">
        <f t="shared" si="5"/>
        <v>0.99999526251776527</v>
      </c>
    </row>
    <row r="59" spans="2:4" x14ac:dyDescent="0.2">
      <c r="B59" s="2">
        <f t="shared" si="6"/>
        <v>13.5</v>
      </c>
      <c r="C59" s="7">
        <f t="shared" si="7"/>
        <v>0.99999862904279313</v>
      </c>
      <c r="D59" s="3">
        <f t="shared" si="5"/>
        <v>0.99999778443302278</v>
      </c>
    </row>
    <row r="60" spans="2:4" x14ac:dyDescent="0.2">
      <c r="B60" s="2">
        <f t="shared" si="6"/>
        <v>14</v>
      </c>
      <c r="C60" s="7">
        <f t="shared" si="7"/>
        <v>0.99999916847197234</v>
      </c>
      <c r="D60" s="3">
        <f t="shared" si="5"/>
        <v>0.99999896385248588</v>
      </c>
    </row>
    <row r="61" spans="2:4" x14ac:dyDescent="0.2">
      <c r="B61" s="2">
        <f t="shared" si="6"/>
        <v>14.5</v>
      </c>
      <c r="C61" s="7">
        <f t="shared" si="7"/>
        <v>0.99999949565259183</v>
      </c>
      <c r="D61" s="3">
        <f t="shared" si="5"/>
        <v>0.99999951542832699</v>
      </c>
    </row>
    <row r="62" spans="2:4" x14ac:dyDescent="0.2">
      <c r="B62" s="2">
        <f t="shared" si="6"/>
        <v>15</v>
      </c>
      <c r="C62" s="7">
        <f t="shared" si="7"/>
        <v>0.99999969409777312</v>
      </c>
      <c r="D62" s="3">
        <f t="shared" si="5"/>
        <v>0.9999997733820386</v>
      </c>
    </row>
    <row r="63" spans="2:4" x14ac:dyDescent="0.2">
      <c r="B63" s="2">
        <f t="shared" si="6"/>
        <v>15.5</v>
      </c>
      <c r="C63" s="7">
        <f t="shared" si="7"/>
        <v>0.99999981446089814</v>
      </c>
      <c r="D63" s="3">
        <f t="shared" si="5"/>
        <v>0.99999989401837486</v>
      </c>
    </row>
    <row r="64" spans="2:4" x14ac:dyDescent="0.2">
      <c r="B64" s="2">
        <f t="shared" si="6"/>
        <v>16</v>
      </c>
      <c r="C64" s="7">
        <f t="shared" si="7"/>
        <v>0.99999988746483792</v>
      </c>
      <c r="D64" s="3">
        <f t="shared" si="5"/>
        <v>0.99999995043594925</v>
      </c>
    </row>
    <row r="65" spans="2:4" x14ac:dyDescent="0.2">
      <c r="B65" s="2">
        <f t="shared" si="6"/>
        <v>16.5</v>
      </c>
      <c r="C65" s="7">
        <f t="shared" si="7"/>
        <v>0.99999993174397095</v>
      </c>
      <c r="D65" s="3">
        <f t="shared" si="5"/>
        <v>0.99999997682055686</v>
      </c>
    </row>
    <row r="66" spans="2:4" x14ac:dyDescent="0.2">
      <c r="B66" s="2">
        <f t="shared" si="6"/>
        <v>17</v>
      </c>
      <c r="C66" s="7">
        <f t="shared" si="7"/>
        <v>0.99999995860062452</v>
      </c>
      <c r="D66" s="3">
        <f t="shared" si="5"/>
        <v>0.99999998915975252</v>
      </c>
    </row>
    <row r="67" spans="2:4" x14ac:dyDescent="0.2">
      <c r="B67" s="2">
        <f t="shared" si="6"/>
        <v>17.5</v>
      </c>
      <c r="C67" s="7">
        <f t="shared" si="7"/>
        <v>0.99999997489000902</v>
      </c>
      <c r="D67" s="3">
        <f t="shared" si="5"/>
        <v>0.99999999493038016</v>
      </c>
    </row>
    <row r="68" spans="2:4" x14ac:dyDescent="0.2">
      <c r="B68" s="2">
        <f t="shared" si="6"/>
        <v>18</v>
      </c>
      <c r="C68" s="7">
        <f t="shared" si="7"/>
        <v>0.9999999847700205</v>
      </c>
      <c r="D68" s="3">
        <f t="shared" si="5"/>
        <v>0.99999999762910896</v>
      </c>
    </row>
    <row r="69" spans="2:4" x14ac:dyDescent="0.2">
      <c r="B69" s="2">
        <f t="shared" si="6"/>
        <v>18.5</v>
      </c>
      <c r="C69" s="7">
        <f t="shared" si="7"/>
        <v>0.99999999076255042</v>
      </c>
      <c r="D69" s="3">
        <f t="shared" si="5"/>
        <v>0.99999999889121383</v>
      </c>
    </row>
    <row r="70" spans="2:4" x14ac:dyDescent="0.2">
      <c r="B70" s="2">
        <f t="shared" si="6"/>
        <v>19</v>
      </c>
      <c r="C70" s="7">
        <f t="shared" si="7"/>
        <v>0.99999999439720355</v>
      </c>
      <c r="D70" s="3">
        <f t="shared" si="5"/>
        <v>0.9999999994814579</v>
      </c>
    </row>
    <row r="71" spans="2:4" x14ac:dyDescent="0.2">
      <c r="B71" s="2">
        <f t="shared" si="6"/>
        <v>19.5</v>
      </c>
      <c r="C71" s="7">
        <f t="shared" si="7"/>
        <v>0.99999999660173222</v>
      </c>
      <c r="D71" s="3">
        <f t="shared" si="5"/>
        <v>0.99999999975749532</v>
      </c>
    </row>
    <row r="72" spans="2:4" x14ac:dyDescent="0.2">
      <c r="B72" s="2">
        <f t="shared" si="6"/>
        <v>20</v>
      </c>
      <c r="C72" s="7">
        <f t="shared" si="7"/>
        <v>0.99999999793884642</v>
      </c>
      <c r="D72" s="3">
        <f t="shared" si="5"/>
        <v>0.99999999988658872</v>
      </c>
    </row>
    <row r="73" spans="2:4" x14ac:dyDescent="0.2">
      <c r="B73" s="2">
        <f t="shared" si="6"/>
        <v>20.5</v>
      </c>
      <c r="C73" s="7">
        <f t="shared" si="7"/>
        <v>0.99999999874984713</v>
      </c>
      <c r="D73" s="3">
        <f t="shared" si="5"/>
        <v>0.99999999994696132</v>
      </c>
    </row>
    <row r="74" spans="2:4" x14ac:dyDescent="0.2">
      <c r="B74" s="2">
        <f t="shared" si="6"/>
        <v>21</v>
      </c>
      <c r="C74" s="7">
        <f t="shared" si="7"/>
        <v>0.99999999924174399</v>
      </c>
      <c r="D74" s="3">
        <f t="shared" si="5"/>
        <v>0.99999999997519562</v>
      </c>
    </row>
    <row r="75" spans="2:4" x14ac:dyDescent="0.2">
      <c r="B75" s="2">
        <f t="shared" si="6"/>
        <v>21.5</v>
      </c>
      <c r="C75" s="7">
        <f t="shared" si="7"/>
        <v>0.99999999954009444</v>
      </c>
      <c r="D75" s="3">
        <f t="shared" si="5"/>
        <v>0.99999999998839983</v>
      </c>
    </row>
    <row r="76" spans="2:4" x14ac:dyDescent="0.2">
      <c r="B76" s="2">
        <f t="shared" si="6"/>
        <v>22</v>
      </c>
      <c r="C76" s="7">
        <f t="shared" si="7"/>
        <v>0.99999999972105325</v>
      </c>
      <c r="D76" s="3">
        <f t="shared" si="5"/>
        <v>0.99999999999457501</v>
      </c>
    </row>
    <row r="77" spans="2:4" x14ac:dyDescent="0.2">
      <c r="B77" s="2">
        <f t="shared" si="6"/>
        <v>22.5</v>
      </c>
      <c r="C77" s="7">
        <f t="shared" si="7"/>
        <v>0.99999999983081023</v>
      </c>
      <c r="D77" s="3">
        <f t="shared" si="5"/>
        <v>0.99999999999746292</v>
      </c>
    </row>
    <row r="78" spans="2:4" x14ac:dyDescent="0.2">
      <c r="B78" s="2">
        <f t="shared" si="6"/>
        <v>23</v>
      </c>
      <c r="C78" s="7">
        <f t="shared" si="7"/>
        <v>0.9999999998973812</v>
      </c>
      <c r="D78" s="3">
        <f t="shared" si="5"/>
        <v>0.9999999999988135</v>
      </c>
    </row>
  </sheetData>
  <conditionalFormatting sqref="C4:C16">
    <cfRule type="cellIs" dxfId="7" priority="7" operator="equal">
      <formula>"Yes"</formula>
    </cfRule>
    <cfRule type="cellIs" dxfId="6" priority="8" operator="equal">
      <formula>"No"</formula>
    </cfRule>
  </conditionalFormatting>
  <conditionalFormatting sqref="D4:D16">
    <cfRule type="cellIs" dxfId="5" priority="5" operator="equal">
      <formula>1</formula>
    </cfRule>
    <cfRule type="cellIs" dxfId="4" priority="6" operator="equal">
      <formula>0</formula>
    </cfRule>
  </conditionalFormatting>
  <conditionalFormatting sqref="G4: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Scroll Bar 1">
              <controlPr defaultSize="0" autoPict="0">
                <anchor moveWithCells="1">
                  <from>
                    <xdr:col>10</xdr:col>
                    <xdr:colOff>139700</xdr:colOff>
                    <xdr:row>2</xdr:row>
                    <xdr:rowOff>203200</xdr:rowOff>
                  </from>
                  <to>
                    <xdr:col>10</xdr:col>
                    <xdr:colOff>482600</xdr:colOff>
                    <xdr:row>17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Scroll Bar 2">
              <controlPr defaultSize="0" autoPict="0">
                <anchor moveWithCells="1">
                  <from>
                    <xdr:col>11</xdr:col>
                    <xdr:colOff>101600</xdr:colOff>
                    <xdr:row>2</xdr:row>
                    <xdr:rowOff>215900</xdr:rowOff>
                  </from>
                  <to>
                    <xdr:col>11</xdr:col>
                    <xdr:colOff>444500</xdr:colOff>
                    <xdr:row>17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AN79"/>
  <sheetViews>
    <sheetView showGridLines="0" topLeftCell="K19" zoomScale="80" zoomScaleNormal="80" workbookViewId="0">
      <selection activeCell="Y22" sqref="Y22:AB22"/>
    </sheetView>
  </sheetViews>
  <sheetFormatPr baseColWidth="10" defaultColWidth="8.83203125" defaultRowHeight="15" x14ac:dyDescent="0.2"/>
  <cols>
    <col min="2" max="3" width="13.6640625" customWidth="1"/>
    <col min="4" max="4" width="17.1640625" customWidth="1"/>
    <col min="5" max="5" width="5.33203125" customWidth="1"/>
    <col min="6" max="6" width="17.33203125" customWidth="1"/>
    <col min="7" max="8" width="11.6640625" customWidth="1"/>
    <col min="9" max="9" width="18.33203125" customWidth="1"/>
    <col min="10" max="10" width="11.6640625" customWidth="1"/>
    <col min="12" max="12" width="13.33203125" bestFit="1" customWidth="1"/>
    <col min="13" max="40" width="8.1640625" customWidth="1"/>
    <col min="41" max="47" width="5.5" customWidth="1"/>
  </cols>
  <sheetData>
    <row r="1" spans="2:9" ht="21" x14ac:dyDescent="0.25">
      <c r="H1" s="30" t="s">
        <v>8</v>
      </c>
      <c r="I1" s="31" t="s">
        <v>9</v>
      </c>
    </row>
    <row r="2" spans="2:9" ht="22" thickBot="1" x14ac:dyDescent="0.25">
      <c r="H2" s="24">
        <v>-10</v>
      </c>
      <c r="I2" s="25">
        <v>2.12</v>
      </c>
    </row>
    <row r="3" spans="2:9" ht="16" thickBot="1" x14ac:dyDescent="0.25"/>
    <row r="4" spans="2:9" ht="33" thickBot="1" x14ac:dyDescent="0.25">
      <c r="B4" s="4" t="s">
        <v>3</v>
      </c>
      <c r="C4" s="5" t="s">
        <v>2</v>
      </c>
      <c r="D4" s="6" t="s">
        <v>2</v>
      </c>
      <c r="F4" s="38" t="s">
        <v>1</v>
      </c>
      <c r="G4" s="39" t="s">
        <v>13</v>
      </c>
      <c r="H4" s="39" t="s">
        <v>14</v>
      </c>
      <c r="I4" s="40" t="s">
        <v>15</v>
      </c>
    </row>
    <row r="5" spans="2:9" ht="20.5" customHeight="1" x14ac:dyDescent="0.2">
      <c r="B5" s="49">
        <v>1</v>
      </c>
      <c r="C5" s="12" t="s">
        <v>5</v>
      </c>
      <c r="D5" s="17">
        <f>IF(C5="No",0,1)</f>
        <v>0</v>
      </c>
      <c r="F5" s="48">
        <f t="shared" ref="F5:F17" si="0">1/(1+EXP(-($I$2*B5+$H$2)))</f>
        <v>3.7809005062703797E-4</v>
      </c>
      <c r="G5" s="36">
        <f>LN(F5)</f>
        <v>-7.8803781615446917</v>
      </c>
      <c r="H5" s="36">
        <f>LN(1-F5)</f>
        <v>-3.7816154469161149E-4</v>
      </c>
      <c r="I5" s="42">
        <f>-IF(D5=1,G5,H5)</f>
        <v>3.7816154469161149E-4</v>
      </c>
    </row>
    <row r="6" spans="2:9" ht="20.5" customHeight="1" x14ac:dyDescent="0.2">
      <c r="B6" s="50">
        <v>2</v>
      </c>
      <c r="C6" s="14" t="s">
        <v>5</v>
      </c>
      <c r="D6" s="18">
        <f t="shared" ref="D6:D17" si="1">IF(C6="No",0,1)</f>
        <v>0</v>
      </c>
      <c r="F6" s="48">
        <f t="shared" si="0"/>
        <v>3.1412132848294273E-3</v>
      </c>
      <c r="G6" s="36">
        <f t="shared" ref="G6:G17" si="2">LN(F6)</f>
        <v>-5.7631461572513629</v>
      </c>
      <c r="H6" s="36">
        <f t="shared" ref="H6:H17" si="3">LN(1-F6)</f>
        <v>-3.1461572513634406E-3</v>
      </c>
      <c r="I6" s="42">
        <f t="shared" ref="I6:I17" si="4">-IF(D6=1,G6,H6)</f>
        <v>3.1461572513634406E-3</v>
      </c>
    </row>
    <row r="7" spans="2:9" ht="20.5" customHeight="1" x14ac:dyDescent="0.2">
      <c r="B7" s="50">
        <v>3</v>
      </c>
      <c r="C7" s="14" t="s">
        <v>5</v>
      </c>
      <c r="D7" s="18">
        <f t="shared" si="1"/>
        <v>0</v>
      </c>
      <c r="F7" s="48">
        <f t="shared" si="0"/>
        <v>2.5580788312007694E-2</v>
      </c>
      <c r="G7" s="36">
        <f t="shared" si="2"/>
        <v>-3.6659136657923068</v>
      </c>
      <c r="H7" s="36">
        <f t="shared" si="3"/>
        <v>-2.5913665792307191E-2</v>
      </c>
      <c r="I7" s="42">
        <f t="shared" si="4"/>
        <v>2.5913665792307191E-2</v>
      </c>
    </row>
    <row r="8" spans="2:9" ht="20.5" customHeight="1" x14ac:dyDescent="0.2">
      <c r="B8" s="50">
        <v>4</v>
      </c>
      <c r="C8" s="14" t="s">
        <v>5</v>
      </c>
      <c r="D8" s="18">
        <f t="shared" si="1"/>
        <v>0</v>
      </c>
      <c r="F8" s="48">
        <f t="shared" si="0"/>
        <v>0.17946151940732688</v>
      </c>
      <c r="G8" s="36">
        <f t="shared" si="2"/>
        <v>-1.717794470596596</v>
      </c>
      <c r="H8" s="36">
        <f t="shared" si="3"/>
        <v>-0.19779447059659658</v>
      </c>
      <c r="I8" s="42">
        <f t="shared" si="4"/>
        <v>0.19779447059659658</v>
      </c>
    </row>
    <row r="9" spans="2:9" ht="20.5" customHeight="1" x14ac:dyDescent="0.2">
      <c r="B9" s="50">
        <v>4.8</v>
      </c>
      <c r="C9" s="14" t="s">
        <v>4</v>
      </c>
      <c r="D9" s="18">
        <f t="shared" si="1"/>
        <v>1</v>
      </c>
      <c r="F9" s="48">
        <f t="shared" si="0"/>
        <v>0.54388677205528568</v>
      </c>
      <c r="G9" s="36">
        <f t="shared" si="2"/>
        <v>-0.60901419339450225</v>
      </c>
      <c r="H9" s="36">
        <f t="shared" si="3"/>
        <v>-0.78501419339450274</v>
      </c>
      <c r="I9" s="42">
        <f t="shared" si="4"/>
        <v>0.60901419339450225</v>
      </c>
    </row>
    <row r="10" spans="2:9" ht="20.5" customHeight="1" x14ac:dyDescent="0.2">
      <c r="B10" s="50">
        <v>6</v>
      </c>
      <c r="C10" s="14" t="s">
        <v>4</v>
      </c>
      <c r="D10" s="18">
        <f t="shared" si="1"/>
        <v>1</v>
      </c>
      <c r="F10" s="48">
        <f t="shared" si="0"/>
        <v>0.93819653373641143</v>
      </c>
      <c r="G10" s="36">
        <f t="shared" si="2"/>
        <v>-6.3795827683805609E-2</v>
      </c>
      <c r="H10" s="36">
        <f t="shared" si="3"/>
        <v>-2.783795827683806</v>
      </c>
      <c r="I10" s="42">
        <f t="shared" si="4"/>
        <v>6.3795827683805609E-2</v>
      </c>
    </row>
    <row r="11" spans="2:9" ht="20.5" customHeight="1" x14ac:dyDescent="0.2">
      <c r="B11" s="50">
        <v>5.2</v>
      </c>
      <c r="C11" s="14" t="s">
        <v>5</v>
      </c>
      <c r="D11" s="18">
        <f t="shared" si="1"/>
        <v>0</v>
      </c>
      <c r="F11" s="48">
        <f t="shared" si="0"/>
        <v>0.7357510183102306</v>
      </c>
      <c r="G11" s="36">
        <f t="shared" si="2"/>
        <v>-0.30686350782570621</v>
      </c>
      <c r="H11" s="36">
        <f t="shared" si="3"/>
        <v>-1.3308635078257074</v>
      </c>
      <c r="I11" s="42">
        <f t="shared" si="4"/>
        <v>1.3308635078257074</v>
      </c>
    </row>
    <row r="12" spans="2:9" ht="20.5" customHeight="1" x14ac:dyDescent="0.2">
      <c r="B12" s="50">
        <v>8</v>
      </c>
      <c r="C12" s="14" t="s">
        <v>4</v>
      </c>
      <c r="D12" s="18">
        <f t="shared" si="1"/>
        <v>1</v>
      </c>
      <c r="F12" s="48">
        <f t="shared" si="0"/>
        <v>0.99905180335564625</v>
      </c>
      <c r="G12" s="36">
        <f t="shared" si="2"/>
        <v>-9.4864646716139511E-4</v>
      </c>
      <c r="H12" s="36">
        <f t="shared" si="3"/>
        <v>-6.960948646467136</v>
      </c>
      <c r="I12" s="42">
        <f t="shared" si="4"/>
        <v>9.4864646716139511E-4</v>
      </c>
    </row>
    <row r="13" spans="2:9" ht="20.5" customHeight="1" x14ac:dyDescent="0.2">
      <c r="B13" s="50">
        <v>9</v>
      </c>
      <c r="C13" s="14" t="s">
        <v>4</v>
      </c>
      <c r="D13" s="18">
        <f t="shared" si="1"/>
        <v>1</v>
      </c>
      <c r="F13" s="48">
        <f t="shared" si="0"/>
        <v>0.99988609136919748</v>
      </c>
      <c r="G13" s="36">
        <f t="shared" si="2"/>
        <v>-1.1391511888330649E-4</v>
      </c>
      <c r="H13" s="36">
        <f t="shared" si="3"/>
        <v>-9.0801139151183978</v>
      </c>
      <c r="I13" s="42">
        <f t="shared" si="4"/>
        <v>1.1391511888330649E-4</v>
      </c>
    </row>
    <row r="14" spans="2:9" ht="20.5" customHeight="1" x14ac:dyDescent="0.2">
      <c r="B14" s="50">
        <v>10</v>
      </c>
      <c r="C14" s="14" t="s">
        <v>4</v>
      </c>
      <c r="D14" s="18">
        <f t="shared" si="1"/>
        <v>1</v>
      </c>
      <c r="F14" s="48">
        <f t="shared" si="0"/>
        <v>0.99998632599091541</v>
      </c>
      <c r="G14" s="36">
        <f t="shared" si="2"/>
        <v>-1.3674102574699973E-5</v>
      </c>
      <c r="H14" s="36">
        <f t="shared" si="3"/>
        <v>-11.200013674103616</v>
      </c>
      <c r="I14" s="42">
        <f t="shared" si="4"/>
        <v>1.3674102574699973E-5</v>
      </c>
    </row>
    <row r="15" spans="2:9" ht="20.5" customHeight="1" x14ac:dyDescent="0.2">
      <c r="B15" s="50">
        <v>11</v>
      </c>
      <c r="C15" s="14" t="s">
        <v>4</v>
      </c>
      <c r="D15" s="18">
        <f t="shared" si="1"/>
        <v>1</v>
      </c>
      <c r="F15" s="48">
        <f t="shared" si="0"/>
        <v>0.99999835866667153</v>
      </c>
      <c r="G15" s="36">
        <f t="shared" si="2"/>
        <v>-1.6413346754616266E-6</v>
      </c>
      <c r="H15" s="36">
        <f t="shared" si="3"/>
        <v>-13.320001641271627</v>
      </c>
      <c r="I15" s="42">
        <f t="shared" si="4"/>
        <v>1.6413346754616266E-6</v>
      </c>
    </row>
    <row r="16" spans="2:9" ht="20.5" customHeight="1" x14ac:dyDescent="0.2">
      <c r="B16" s="50">
        <v>12</v>
      </c>
      <c r="C16" s="14" t="s">
        <v>4</v>
      </c>
      <c r="D16" s="18">
        <f t="shared" si="1"/>
        <v>1</v>
      </c>
      <c r="F16" s="48">
        <f t="shared" si="0"/>
        <v>0.99999980298780322</v>
      </c>
      <c r="G16" s="36">
        <f t="shared" si="2"/>
        <v>-1.9701221618560623E-7</v>
      </c>
      <c r="H16" s="36">
        <f t="shared" si="3"/>
        <v>-15.440000197542689</v>
      </c>
      <c r="I16" s="42">
        <f t="shared" si="4"/>
        <v>1.9701221618560623E-7</v>
      </c>
    </row>
    <row r="17" spans="1:40" ht="20.5" customHeight="1" thickBot="1" x14ac:dyDescent="0.25">
      <c r="B17" s="51">
        <v>13</v>
      </c>
      <c r="C17" s="16" t="s">
        <v>4</v>
      </c>
      <c r="D17" s="19">
        <f t="shared" si="1"/>
        <v>1</v>
      </c>
      <c r="F17" s="48">
        <f t="shared" si="0"/>
        <v>0.99999997635230098</v>
      </c>
      <c r="G17" s="36">
        <f t="shared" si="2"/>
        <v>-2.3647699300796634E-8</v>
      </c>
      <c r="H17" s="36">
        <f t="shared" si="3"/>
        <v>-17.560000019714685</v>
      </c>
      <c r="I17" s="42">
        <f t="shared" si="4"/>
        <v>2.3647699300796634E-8</v>
      </c>
    </row>
    <row r="19" spans="1:40" ht="20" thickBot="1" x14ac:dyDescent="0.3">
      <c r="I19" s="47">
        <f>SUM(I5:I17)</f>
        <v>2.2319840817721843</v>
      </c>
    </row>
    <row r="20" spans="1:40" ht="16" thickBot="1" x14ac:dyDescent="0.25">
      <c r="M20" s="32" t="s">
        <v>0</v>
      </c>
      <c r="N20" s="33">
        <v>0.02</v>
      </c>
    </row>
    <row r="21" spans="1:40" ht="29" customHeight="1" thickBot="1" x14ac:dyDescent="0.25">
      <c r="I21" s="1">
        <f>I19*2</f>
        <v>4.4639681635443687</v>
      </c>
      <c r="M21" s="85" t="s">
        <v>12</v>
      </c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</row>
    <row r="22" spans="1:40" ht="21" customHeight="1" x14ac:dyDescent="0.2">
      <c r="F22" t="s">
        <v>17</v>
      </c>
      <c r="G22" s="57" t="s">
        <v>16</v>
      </c>
      <c r="J22" s="34" t="s">
        <v>0</v>
      </c>
      <c r="K22" s="85" t="s">
        <v>9</v>
      </c>
      <c r="L22" s="63">
        <f>I19</f>
        <v>2.2319840817721843</v>
      </c>
      <c r="M22" s="65">
        <v>-10.8</v>
      </c>
      <c r="N22" s="66">
        <f>M22+$N$20</f>
        <v>-10.780000000000001</v>
      </c>
      <c r="O22" s="66">
        <f t="shared" ref="O22:AN22" si="5">N22+$N$20</f>
        <v>-10.760000000000002</v>
      </c>
      <c r="P22" s="66">
        <f t="shared" si="5"/>
        <v>-10.740000000000002</v>
      </c>
      <c r="Q22" s="66">
        <f t="shared" si="5"/>
        <v>-10.720000000000002</v>
      </c>
      <c r="R22" s="66">
        <f t="shared" si="5"/>
        <v>-10.700000000000003</v>
      </c>
      <c r="S22" s="66">
        <f t="shared" si="5"/>
        <v>-10.680000000000003</v>
      </c>
      <c r="T22" s="66">
        <f t="shared" si="5"/>
        <v>-10.660000000000004</v>
      </c>
      <c r="U22" s="66">
        <f t="shared" si="5"/>
        <v>-10.640000000000004</v>
      </c>
      <c r="V22" s="66">
        <f t="shared" si="5"/>
        <v>-10.620000000000005</v>
      </c>
      <c r="W22" s="66">
        <f t="shared" si="5"/>
        <v>-10.600000000000005</v>
      </c>
      <c r="X22" s="66">
        <f t="shared" si="5"/>
        <v>-10.580000000000005</v>
      </c>
      <c r="Y22" s="80">
        <f t="shared" si="5"/>
        <v>-10.560000000000006</v>
      </c>
      <c r="Z22" s="80">
        <f t="shared" si="5"/>
        <v>-10.540000000000006</v>
      </c>
      <c r="AA22" s="80">
        <f t="shared" si="5"/>
        <v>-10.520000000000007</v>
      </c>
      <c r="AB22" s="80">
        <f t="shared" si="5"/>
        <v>-10.500000000000007</v>
      </c>
      <c r="AC22" s="66">
        <f t="shared" si="5"/>
        <v>-10.480000000000008</v>
      </c>
      <c r="AD22" s="66">
        <f t="shared" si="5"/>
        <v>-10.460000000000008</v>
      </c>
      <c r="AE22" s="66">
        <f t="shared" si="5"/>
        <v>-10.440000000000008</v>
      </c>
      <c r="AF22" s="66">
        <f t="shared" si="5"/>
        <v>-10.420000000000009</v>
      </c>
      <c r="AG22" s="66">
        <f t="shared" si="5"/>
        <v>-10.400000000000009</v>
      </c>
      <c r="AH22" s="66">
        <f t="shared" si="5"/>
        <v>-10.38000000000001</v>
      </c>
      <c r="AI22" s="66">
        <f t="shared" si="5"/>
        <v>-10.36000000000001</v>
      </c>
      <c r="AJ22" s="66">
        <f t="shared" si="5"/>
        <v>-10.340000000000011</v>
      </c>
      <c r="AK22" s="66">
        <f t="shared" si="5"/>
        <v>-10.320000000000011</v>
      </c>
      <c r="AL22" s="66">
        <f t="shared" si="5"/>
        <v>-10.300000000000011</v>
      </c>
      <c r="AM22" s="66">
        <f t="shared" si="5"/>
        <v>-10.280000000000012</v>
      </c>
      <c r="AN22" s="66">
        <f t="shared" si="5"/>
        <v>-10.260000000000012</v>
      </c>
    </row>
    <row r="23" spans="1:40" ht="24.5" customHeight="1" thickBot="1" x14ac:dyDescent="0.25">
      <c r="J23" s="35">
        <v>0.1</v>
      </c>
      <c r="K23" s="85"/>
      <c r="L23" s="64">
        <v>0.7</v>
      </c>
      <c r="M23" s="52">
        <f t="dataTable" ref="M23:AN53" dt2D="1" dtr="1" r1="H2" r2="I2"/>
        <v>35.080708601548508</v>
      </c>
      <c r="N23" s="52">
        <v>34.927215693683046</v>
      </c>
      <c r="O23" s="52">
        <v>34.773840321242112</v>
      </c>
      <c r="P23" s="52">
        <v>34.620584368176111</v>
      </c>
      <c r="Q23" s="52">
        <v>34.467449740547757</v>
      </c>
      <c r="R23" s="52">
        <v>34.314438366528961</v>
      </c>
      <c r="S23" s="52">
        <v>34.161552196388165</v>
      </c>
      <c r="T23" s="52">
        <v>34.008793202468155</v>
      </c>
      <c r="U23" s="52">
        <v>33.856163379154026</v>
      </c>
      <c r="V23" s="52">
        <v>33.703664742831116</v>
      </c>
      <c r="W23" s="52">
        <v>33.551299331832709</v>
      </c>
      <c r="X23" s="52">
        <v>33.399069206377249</v>
      </c>
      <c r="Y23" s="52">
        <v>33.246976448494983</v>
      </c>
      <c r="Z23" s="52">
        <v>33.095023161943722</v>
      </c>
      <c r="AA23" s="52">
        <v>32.943211472113582</v>
      </c>
      <c r="AB23" s="52">
        <v>32.791543525920616</v>
      </c>
      <c r="AC23" s="52">
        <v>32.640021491688962</v>
      </c>
      <c r="AD23" s="52">
        <v>32.488647559021622</v>
      </c>
      <c r="AE23" s="52">
        <v>32.337423938659441</v>
      </c>
      <c r="AF23" s="52">
        <v>32.18635286232837</v>
      </c>
      <c r="AG23" s="52">
        <v>32.03543658257481</v>
      </c>
      <c r="AH23" s="52">
        <v>31.884677372588815</v>
      </c>
      <c r="AI23" s="52">
        <v>31.734077526015174</v>
      </c>
      <c r="AJ23" s="52">
        <v>31.583639356752297</v>
      </c>
      <c r="AK23" s="52">
        <v>31.433365198738649</v>
      </c>
      <c r="AL23" s="52">
        <v>31.283257405726829</v>
      </c>
      <c r="AM23" s="52">
        <v>31.133318351045187</v>
      </c>
      <c r="AN23" s="52">
        <v>30.983550427346817</v>
      </c>
    </row>
    <row r="24" spans="1:40" ht="24.5" customHeight="1" x14ac:dyDescent="0.2">
      <c r="K24" s="85"/>
      <c r="L24" s="64">
        <f t="shared" ref="L24:L53" si="6">L23+$J$23</f>
        <v>0.79999999999999993</v>
      </c>
      <c r="M24" s="52">
        <v>28.367020341608622</v>
      </c>
      <c r="N24" s="52">
        <v>28.224217640944058</v>
      </c>
      <c r="O24" s="52">
        <v>28.081665698611058</v>
      </c>
      <c r="P24" s="52">
        <v>27.939367013237014</v>
      </c>
      <c r="Q24" s="52">
        <v>27.797324081696733</v>
      </c>
      <c r="R24" s="52">
        <v>27.655539398571538</v>
      </c>
      <c r="S24" s="52">
        <v>27.514015455609623</v>
      </c>
      <c r="T24" s="52">
        <v>27.372754741187819</v>
      </c>
      <c r="U24" s="52">
        <v>27.231759739775445</v>
      </c>
      <c r="V24" s="52">
        <v>27.09103293140063</v>
      </c>
      <c r="W24" s="52">
        <v>26.950576791119399</v>
      </c>
      <c r="X24" s="52">
        <v>26.810393788488188</v>
      </c>
      <c r="Y24" s="52">
        <v>26.670486387039961</v>
      </c>
      <c r="Z24" s="52">
        <v>26.530857043764552</v>
      </c>
      <c r="AA24" s="52">
        <v>26.391508208593436</v>
      </c>
      <c r="AB24" s="52">
        <v>26.252442323889568</v>
      </c>
      <c r="AC24" s="52">
        <v>26.11366182394239</v>
      </c>
      <c r="AD24" s="52">
        <v>25.975169134468615</v>
      </c>
      <c r="AE24" s="52">
        <v>25.836966672119054</v>
      </c>
      <c r="AF24" s="52">
        <v>25.69905684399183</v>
      </c>
      <c r="AG24" s="52">
        <v>25.561442047152362</v>
      </c>
      <c r="AH24" s="52">
        <v>25.42412466816041</v>
      </c>
      <c r="AI24" s="52">
        <v>25.287107082604546</v>
      </c>
      <c r="AJ24" s="52">
        <v>25.15039165464427</v>
      </c>
      <c r="AK24" s="52">
        <v>25.013980736560175</v>
      </c>
      <c r="AL24" s="52">
        <v>24.877876668312378</v>
      </c>
      <c r="AM24" s="52">
        <v>24.742081777107394</v>
      </c>
      <c r="AN24" s="52">
        <v>24.606598376973896</v>
      </c>
    </row>
    <row r="25" spans="1:40" ht="24.5" customHeight="1" x14ac:dyDescent="0.2">
      <c r="K25" s="85"/>
      <c r="L25" s="64">
        <f t="shared" si="6"/>
        <v>0.89999999999999991</v>
      </c>
      <c r="M25" s="52">
        <v>22.509891661566456</v>
      </c>
      <c r="N25" s="52">
        <v>22.384884616199709</v>
      </c>
      <c r="O25" s="52">
        <v>22.260229758353447</v>
      </c>
      <c r="P25" s="52">
        <v>22.135928440691625</v>
      </c>
      <c r="Q25" s="52">
        <v>22.011981996903298</v>
      </c>
      <c r="R25" s="52">
        <v>21.888391741720536</v>
      </c>
      <c r="S25" s="52">
        <v>21.765158970941922</v>
      </c>
      <c r="T25" s="52">
        <v>21.642284961461772</v>
      </c>
      <c r="U25" s="52">
        <v>21.519770971304681</v>
      </c>
      <c r="V25" s="52">
        <v>21.397618239665206</v>
      </c>
      <c r="W25" s="52">
        <v>21.275827986952645</v>
      </c>
      <c r="X25" s="52">
        <v>21.154401414840507</v>
      </c>
      <c r="Y25" s="52">
        <v>21.033339706320614</v>
      </c>
      <c r="Z25" s="52">
        <v>20.912644025761669</v>
      </c>
      <c r="AA25" s="52">
        <v>20.792315518971947</v>
      </c>
      <c r="AB25" s="52">
        <v>20.672355313266099</v>
      </c>
      <c r="AC25" s="52">
        <v>20.552764517535728</v>
      </c>
      <c r="AD25" s="52">
        <v>20.4335442223237</v>
      </c>
      <c r="AE25" s="52">
        <v>20.314695499901863</v>
      </c>
      <c r="AF25" s="52">
        <v>20.196219404352085</v>
      </c>
      <c r="AG25" s="52">
        <v>20.078116971650463</v>
      </c>
      <c r="AH25" s="52">
        <v>19.960389219754379</v>
      </c>
      <c r="AI25" s="52">
        <v>19.843037148692396</v>
      </c>
      <c r="AJ25" s="52">
        <v>19.726061740656796</v>
      </c>
      <c r="AK25" s="52">
        <v>19.609463960098477</v>
      </c>
      <c r="AL25" s="52">
        <v>19.493244753824165</v>
      </c>
      <c r="AM25" s="52">
        <v>19.377405051095792</v>
      </c>
      <c r="AN25" s="52">
        <v>19.261945763731788</v>
      </c>
    </row>
    <row r="26" spans="1:40" ht="24.5" customHeight="1" x14ac:dyDescent="0.2">
      <c r="A26" t="s">
        <v>0</v>
      </c>
      <c r="B26">
        <v>0.5</v>
      </c>
      <c r="K26" s="85"/>
      <c r="L26" s="64">
        <f t="shared" si="6"/>
        <v>0.99999999999999989</v>
      </c>
      <c r="M26" s="52">
        <v>17.765707533352145</v>
      </c>
      <c r="N26" s="52">
        <v>17.660768890891365</v>
      </c>
      <c r="O26" s="52">
        <v>17.556198901662921</v>
      </c>
      <c r="P26" s="52">
        <v>17.45199786985345</v>
      </c>
      <c r="Q26" s="52">
        <v>17.348166089177813</v>
      </c>
      <c r="R26" s="52">
        <v>17.244703842960533</v>
      </c>
      <c r="S26" s="52">
        <v>17.141611404215674</v>
      </c>
      <c r="T26" s="52">
        <v>17.038889035725127</v>
      </c>
      <c r="U26" s="52">
        <v>16.936536990115343</v>
      </c>
      <c r="V26" s="52">
        <v>16.834555509932478</v>
      </c>
      <c r="W26" s="52">
        <v>16.732944827715936</v>
      </c>
      <c r="X26" s="52">
        <v>16.631705166070336</v>
      </c>
      <c r="Y26" s="52">
        <v>16.530836737735921</v>
      </c>
      <c r="Z26" s="52">
        <v>16.430339745657324</v>
      </c>
      <c r="AA26" s="52">
        <v>16.330214383050834</v>
      </c>
      <c r="AB26" s="52">
        <v>16.230460833470019</v>
      </c>
      <c r="AC26" s="52">
        <v>16.131079270869858</v>
      </c>
      <c r="AD26" s="52">
        <v>16.032069859669264</v>
      </c>
      <c r="AE26" s="52">
        <v>15.933432754812141</v>
      </c>
      <c r="AF26" s="52">
        <v>15.835168101826859</v>
      </c>
      <c r="AG26" s="52">
        <v>15.737276036884319</v>
      </c>
      <c r="AH26" s="52">
        <v>15.639756686854447</v>
      </c>
      <c r="AI26" s="52">
        <v>15.542610169361327</v>
      </c>
      <c r="AJ26" s="52">
        <v>15.445836592836855</v>
      </c>
      <c r="AK26" s="52">
        <v>15.349436056573031</v>
      </c>
      <c r="AL26" s="52">
        <v>15.253408650772862</v>
      </c>
      <c r="AM26" s="52">
        <v>15.157754456599962</v>
      </c>
      <c r="AN26" s="52">
        <v>15.062473546226832</v>
      </c>
    </row>
    <row r="27" spans="1:40" ht="24.5" customHeight="1" x14ac:dyDescent="0.2">
      <c r="K27" s="85"/>
      <c r="L27" s="64">
        <f t="shared" si="6"/>
        <v>1.0999999999999999</v>
      </c>
      <c r="M27" s="52">
        <v>14.071357005559175</v>
      </c>
      <c r="N27" s="52">
        <v>13.984705405264556</v>
      </c>
      <c r="O27" s="52">
        <v>13.898396914746737</v>
      </c>
      <c r="P27" s="52">
        <v>13.81243138041596</v>
      </c>
      <c r="Q27" s="52">
        <v>13.726808642233488</v>
      </c>
      <c r="R27" s="52">
        <v>13.641528533708341</v>
      </c>
      <c r="S27" s="52">
        <v>13.556590881893877</v>
      </c>
      <c r="T27" s="53">
        <v>13.471995507384243</v>
      </c>
      <c r="U27" s="52">
        <v>13.387742224310678</v>
      </c>
      <c r="V27" s="52">
        <v>13.303830840337861</v>
      </c>
      <c r="W27" s="52">
        <v>13.220261156660239</v>
      </c>
      <c r="X27" s="52">
        <v>13.137032967998474</v>
      </c>
      <c r="Y27" s="52">
        <v>13.054146062596056</v>
      </c>
      <c r="Z27" s="52">
        <v>12.971600222216145</v>
      </c>
      <c r="AA27" s="52">
        <v>12.889395222138713</v>
      </c>
      <c r="AB27" s="52">
        <v>12.807530831158056</v>
      </c>
      <c r="AC27" s="52">
        <v>12.726006811580801</v>
      </c>
      <c r="AD27" s="52">
        <v>12.644822919224399</v>
      </c>
      <c r="AE27" s="52">
        <v>12.563978903416274</v>
      </c>
      <c r="AF27" s="52">
        <v>12.483474506993659</v>
      </c>
      <c r="AG27" s="52">
        <v>12.403309466304242</v>
      </c>
      <c r="AH27" s="52">
        <v>12.323483511207698</v>
      </c>
      <c r="AI27" s="52">
        <v>12.243996365078205</v>
      </c>
      <c r="AJ27" s="52">
        <v>12.164847744808043</v>
      </c>
      <c r="AK27" s="52">
        <v>12.086037360812401</v>
      </c>
      <c r="AL27" s="52">
        <v>12.007564917035443</v>
      </c>
      <c r="AM27" s="52">
        <v>11.929430110957821</v>
      </c>
      <c r="AN27" s="52">
        <v>11.851632633605673</v>
      </c>
    </row>
    <row r="28" spans="1:40" ht="24.5" customHeight="1" x14ac:dyDescent="0.2">
      <c r="B28" s="9" t="s">
        <v>6</v>
      </c>
      <c r="C28" s="9" t="s">
        <v>7</v>
      </c>
      <c r="D28" s="9" t="s">
        <v>10</v>
      </c>
      <c r="K28" s="85"/>
      <c r="L28" s="64">
        <f t="shared" si="6"/>
        <v>1.2</v>
      </c>
      <c r="M28" s="52">
        <v>11.229033675573959</v>
      </c>
      <c r="N28" s="52">
        <v>11.157765253969997</v>
      </c>
      <c r="O28" s="52">
        <v>11.086801239622758</v>
      </c>
      <c r="P28" s="52">
        <v>11.016141210090192</v>
      </c>
      <c r="Q28" s="52">
        <v>10.945784737062448</v>
      </c>
      <c r="R28" s="52">
        <v>10.875731386387844</v>
      </c>
      <c r="S28" s="52">
        <v>10.805980718102505</v>
      </c>
      <c r="T28" s="52">
        <v>10.736532286463776</v>
      </c>
      <c r="U28" s="52">
        <v>10.667385639987488</v>
      </c>
      <c r="V28" s="52">
        <v>10.59854032148931</v>
      </c>
      <c r="W28" s="52">
        <v>10.529995868130197</v>
      </c>
      <c r="X28" s="52">
        <v>10.461751811466174</v>
      </c>
      <c r="Y28" s="52">
        <v>10.393807677502494</v>
      </c>
      <c r="Z28" s="52">
        <v>10.326162986752347</v>
      </c>
      <c r="AA28" s="52">
        <v>10.258817254300226</v>
      </c>
      <c r="AB28" s="52">
        <v>10.191769989870107</v>
      </c>
      <c r="AC28" s="52">
        <v>10.125020697898528</v>
      </c>
      <c r="AD28" s="52">
        <v>10.058568877612712</v>
      </c>
      <c r="AE28" s="52">
        <v>9.992414023113886</v>
      </c>
      <c r="AF28" s="52">
        <v>9.9265556234658892</v>
      </c>
      <c r="AG28" s="52">
        <v>9.8609931627891818</v>
      </c>
      <c r="AH28" s="52">
        <v>9.7957261203604613</v>
      </c>
      <c r="AI28" s="52">
        <v>9.7307539707179078</v>
      </c>
      <c r="AJ28" s="52">
        <v>9.6660761837722493</v>
      </c>
      <c r="AK28" s="52">
        <v>9.6016922249238021</v>
      </c>
      <c r="AL28" s="52">
        <v>9.5376015551854536</v>
      </c>
      <c r="AM28" s="52">
        <v>9.4738036313119647</v>
      </c>
      <c r="AN28" s="52">
        <v>9.4102979059354759</v>
      </c>
    </row>
    <row r="29" spans="1:40" ht="24.5" customHeight="1" x14ac:dyDescent="0.2">
      <c r="B29" s="26">
        <v>-2</v>
      </c>
      <c r="C29" s="7">
        <f>Sigmoid(B29)</f>
        <v>0.11920292202211755</v>
      </c>
      <c r="D29" s="3">
        <f t="shared" ref="D29:D60" si="7">Sigmoid($I$2*B29+$H$2)</f>
        <v>6.5410322987253518E-7</v>
      </c>
      <c r="K29" s="85"/>
      <c r="L29" s="64">
        <f t="shared" si="6"/>
        <v>1.3</v>
      </c>
      <c r="M29" s="52">
        <v>9.0409265666749761</v>
      </c>
      <c r="N29" s="52">
        <v>8.9821150608508269</v>
      </c>
      <c r="O29" s="52">
        <v>8.9235636616040814</v>
      </c>
      <c r="P29" s="52">
        <v>8.8652717588200058</v>
      </c>
      <c r="Q29" s="52">
        <v>8.8072387401866408</v>
      </c>
      <c r="R29" s="52">
        <v>8.7494639914119308</v>
      </c>
      <c r="S29" s="52">
        <v>8.6919468964487141</v>
      </c>
      <c r="T29" s="52">
        <v>8.6346868377277772</v>
      </c>
      <c r="U29" s="52">
        <v>8.5776831963989828</v>
      </c>
      <c r="V29" s="52">
        <v>8.5209353525806044</v>
      </c>
      <c r="W29" s="52">
        <v>8.4644426856169037</v>
      </c>
      <c r="X29" s="52">
        <v>8.4082045743440279</v>
      </c>
      <c r="Y29" s="52">
        <v>8.352220397364265</v>
      </c>
      <c r="Z29" s="52">
        <v>8.2964895333286872</v>
      </c>
      <c r="AA29" s="52">
        <v>8.2410113612282032</v>
      </c>
      <c r="AB29" s="52">
        <v>8.1857852606930432</v>
      </c>
      <c r="AC29" s="52">
        <v>8.1308106123006301</v>
      </c>
      <c r="AD29" s="52">
        <v>8.0760867978918593</v>
      </c>
      <c r="AE29" s="52">
        <v>8.0216132008956826</v>
      </c>
      <c r="AF29" s="52">
        <v>7.9673892066620198</v>
      </c>
      <c r="AG29" s="52">
        <v>7.9134142028028522</v>
      </c>
      <c r="AH29" s="52">
        <v>7.8596875795414336</v>
      </c>
      <c r="AI29" s="52">
        <v>7.8062087300695131</v>
      </c>
      <c r="AJ29" s="52">
        <v>7.7529770509124409</v>
      </c>
      <c r="AK29" s="52">
        <v>7.6999919423019731</v>
      </c>
      <c r="AL29" s="52">
        <v>7.6472528085566731</v>
      </c>
      <c r="AM29" s="52">
        <v>7.5947590584696503</v>
      </c>
      <c r="AN29" s="52">
        <v>7.5425101057034993</v>
      </c>
    </row>
    <row r="30" spans="1:40" ht="24.5" customHeight="1" x14ac:dyDescent="0.2">
      <c r="B30" s="2">
        <f>B29+$B$26</f>
        <v>-1.5</v>
      </c>
      <c r="C30" s="7">
        <f>Sigmoid(B30)</f>
        <v>0.18242552380635635</v>
      </c>
      <c r="D30" s="3">
        <f t="shared" si="7"/>
        <v>1.887982257144448E-6</v>
      </c>
      <c r="K30" s="85"/>
      <c r="L30" s="64">
        <f t="shared" si="6"/>
        <v>1.4000000000000001</v>
      </c>
      <c r="M30" s="52">
        <v>7.33908568003387</v>
      </c>
      <c r="N30" s="52">
        <v>7.2900025701216666</v>
      </c>
      <c r="O30" s="52">
        <v>7.2411350358896165</v>
      </c>
      <c r="P30" s="52">
        <v>7.1924825377180106</v>
      </c>
      <c r="Q30" s="52">
        <v>7.1440445456299768</v>
      </c>
      <c r="R30" s="52">
        <v>7.0958205397511254</v>
      </c>
      <c r="S30" s="52">
        <v>7.0478100107713413</v>
      </c>
      <c r="T30" s="52">
        <v>7.0000124604082687</v>
      </c>
      <c r="U30" s="53">
        <v>6.9524274018719616</v>
      </c>
      <c r="V30" s="52">
        <v>6.9050543603302312</v>
      </c>
      <c r="W30" s="52">
        <v>6.8578928733741611</v>
      </c>
      <c r="X30" s="52">
        <v>6.8109424914832841</v>
      </c>
      <c r="Y30" s="52">
        <v>6.7642027784898993</v>
      </c>
      <c r="Z30" s="52">
        <v>6.7176733120420016</v>
      </c>
      <c r="AA30" s="52">
        <v>6.6713536840642833</v>
      </c>
      <c r="AB30" s="52">
        <v>6.6252435012166915</v>
      </c>
      <c r="AC30" s="52">
        <v>6.5793423853499995</v>
      </c>
      <c r="AD30" s="52">
        <v>6.5336499739578473</v>
      </c>
      <c r="AE30" s="52">
        <v>6.4881659206247271</v>
      </c>
      <c r="AF30" s="52">
        <v>6.4428898954693707</v>
      </c>
      <c r="AG30" s="52">
        <v>6.3978215855830189</v>
      </c>
      <c r="AH30" s="52">
        <v>6.3529606954620146</v>
      </c>
      <c r="AI30" s="52">
        <v>6.3083069474342492</v>
      </c>
      <c r="AJ30" s="52">
        <v>6.2638600820788488</v>
      </c>
      <c r="AK30" s="52">
        <v>6.2196198586387093</v>
      </c>
      <c r="AL30" s="52">
        <v>6.1755860554252511</v>
      </c>
      <c r="AM30" s="52">
        <v>6.1317584702149883</v>
      </c>
      <c r="AN30" s="52">
        <v>6.0881369206373437</v>
      </c>
    </row>
    <row r="31" spans="1:40" ht="24.5" customHeight="1" x14ac:dyDescent="0.2">
      <c r="B31" s="2">
        <f t="shared" ref="B31:B79" si="8">B30+$B$26</f>
        <v>-1</v>
      </c>
      <c r="C31" s="7">
        <f t="shared" ref="C31:C79" si="9">Sigmoid(B31)</f>
        <v>0.2689414213699951</v>
      </c>
      <c r="D31" s="3">
        <f t="shared" si="7"/>
        <v>5.4493978075985135E-6</v>
      </c>
      <c r="K31" s="85"/>
      <c r="L31" s="64">
        <f t="shared" si="6"/>
        <v>1.5000000000000002</v>
      </c>
      <c r="M31" s="52">
        <v>5.9865173575357913</v>
      </c>
      <c r="N31" s="52">
        <v>5.9448671466891128</v>
      </c>
      <c r="O31" s="52">
        <v>5.9034004947656902</v>
      </c>
      <c r="P31" s="52">
        <v>5.8621174154457858</v>
      </c>
      <c r="Q31" s="52">
        <v>5.8210179455041438</v>
      </c>
      <c r="R31" s="52">
        <v>5.7801021450412895</v>
      </c>
      <c r="S31" s="52">
        <v>5.7393700977012667</v>
      </c>
      <c r="T31" s="52">
        <v>5.6988219108755489</v>
      </c>
      <c r="U31" s="52">
        <v>5.6584577158929221</v>
      </c>
      <c r="V31" s="52">
        <v>5.6182776681951321</v>
      </c>
      <c r="W31" s="52">
        <v>5.5782819474980538</v>
      </c>
      <c r="X31" s="52">
        <v>5.5384707579382804</v>
      </c>
      <c r="Y31" s="52">
        <v>5.4988443282048882</v>
      </c>
      <c r="Z31" s="52">
        <v>5.459402911656289</v>
      </c>
      <c r="AA31" s="52">
        <v>5.4201467864220216</v>
      </c>
      <c r="AB31" s="52">
        <v>5.381076255489325</v>
      </c>
      <c r="AC31" s="52">
        <v>5.342191646774479</v>
      </c>
      <c r="AD31" s="52">
        <v>5.303493313178743</v>
      </c>
      <c r="AE31" s="52">
        <v>5.2649816326288752</v>
      </c>
      <c r="AF31" s="52">
        <v>5.2266570081021637</v>
      </c>
      <c r="AG31" s="52">
        <v>5.1885198676359376</v>
      </c>
      <c r="AH31" s="52">
        <v>5.1505706643215321</v>
      </c>
      <c r="AI31" s="52">
        <v>5.1128098762827197</v>
      </c>
      <c r="AJ31" s="52">
        <v>5.0752380066385978</v>
      </c>
      <c r="AK31" s="52">
        <v>5.0378555834509759</v>
      </c>
      <c r="AL31" s="52">
        <v>5.0006631596563054</v>
      </c>
      <c r="AM31" s="52">
        <v>4.9636613129821967</v>
      </c>
      <c r="AN31" s="52">
        <v>4.9268506458486243</v>
      </c>
    </row>
    <row r="32" spans="1:40" ht="24.5" customHeight="1" x14ac:dyDescent="0.2">
      <c r="B32" s="2">
        <f t="shared" si="8"/>
        <v>-0.5</v>
      </c>
      <c r="C32" s="7">
        <f t="shared" si="9"/>
        <v>0.37754066879814541</v>
      </c>
      <c r="D32" s="3">
        <f t="shared" si="7"/>
        <v>1.5728822055054829E-5</v>
      </c>
      <c r="K32" s="85"/>
      <c r="L32" s="64">
        <f t="shared" si="6"/>
        <v>1.6000000000000003</v>
      </c>
      <c r="M32" s="52">
        <v>4.8829630226872034</v>
      </c>
      <c r="N32" s="52">
        <v>4.8473230557520406</v>
      </c>
      <c r="O32" s="52">
        <v>4.8118608597090873</v>
      </c>
      <c r="P32" s="52">
        <v>4.7765772392365324</v>
      </c>
      <c r="Q32" s="52">
        <v>4.7414730210954463</v>
      </c>
      <c r="R32" s="52">
        <v>4.7065490538744648</v>
      </c>
      <c r="S32" s="52">
        <v>4.6718062077225611</v>
      </c>
      <c r="T32" s="52">
        <v>4.63724537407015</v>
      </c>
      <c r="U32" s="52">
        <v>4.6028674653387869</v>
      </c>
      <c r="V32" s="52">
        <v>4.5686734146397274</v>
      </c>
      <c r="W32" s="52">
        <v>4.5346641754616481</v>
      </c>
      <c r="X32" s="52">
        <v>4.5008407213477586</v>
      </c>
      <c r="Y32" s="52">
        <v>4.4672040455626805</v>
      </c>
      <c r="Z32" s="52">
        <v>4.4337551607493548</v>
      </c>
      <c r="AA32" s="52">
        <v>4.4004950985762932</v>
      </c>
      <c r="AB32" s="52">
        <v>4.36742490937554</v>
      </c>
      <c r="AC32" s="52">
        <v>4.3345456617716289</v>
      </c>
      <c r="AD32" s="52">
        <v>4.3018584423019144</v>
      </c>
      <c r="AE32" s="52">
        <v>4.2693643550286193</v>
      </c>
      <c r="AF32" s="52">
        <v>4.2370645211429476</v>
      </c>
      <c r="AG32" s="52">
        <v>4.204960078561637</v>
      </c>
      <c r="AH32" s="52">
        <v>4.173052181516308</v>
      </c>
      <c r="AI32" s="52">
        <v>4.1413420001359968</v>
      </c>
      <c r="AJ32" s="52">
        <v>4.1098307200232602</v>
      </c>
      <c r="AK32" s="52">
        <v>4.0785195418241873</v>
      </c>
      <c r="AL32" s="52">
        <v>4.0474096807927831</v>
      </c>
      <c r="AM32" s="52">
        <v>4.0165023663500321</v>
      </c>
      <c r="AN32" s="52">
        <v>3.9857988416380898</v>
      </c>
    </row>
    <row r="33" spans="2:40" ht="24.5" customHeight="1" x14ac:dyDescent="0.2">
      <c r="B33" s="2">
        <f t="shared" si="8"/>
        <v>0</v>
      </c>
      <c r="C33" s="7">
        <f t="shared" si="9"/>
        <v>0.5</v>
      </c>
      <c r="D33" s="3">
        <f t="shared" si="7"/>
        <v>4.5397868702434395E-5</v>
      </c>
      <c r="K33" s="85"/>
      <c r="L33" s="64">
        <f t="shared" si="6"/>
        <v>1.7000000000000004</v>
      </c>
      <c r="M33" s="52">
        <v>3.972970737838585</v>
      </c>
      <c r="N33" s="52">
        <v>3.9429821107891603</v>
      </c>
      <c r="O33" s="52">
        <v>3.9131900917996139</v>
      </c>
      <c r="P33" s="52">
        <v>3.8835959920700214</v>
      </c>
      <c r="Q33" s="52">
        <v>3.8542011316031393</v>
      </c>
      <c r="R33" s="52">
        <v>3.8250068387615066</v>
      </c>
      <c r="S33" s="52">
        <v>3.7960144498248094</v>
      </c>
      <c r="T33" s="52">
        <v>3.7672253085478578</v>
      </c>
      <c r="U33" s="52">
        <v>3.7386407657195111</v>
      </c>
      <c r="V33" s="52">
        <v>3.7102621787228744</v>
      </c>
      <c r="W33" s="52">
        <v>3.6820909110970912</v>
      </c>
      <c r="X33" s="52">
        <v>3.6541283321010307</v>
      </c>
      <c r="Y33" s="52">
        <v>3.6263758162791748</v>
      </c>
      <c r="Z33" s="52">
        <v>3.5988347430299776</v>
      </c>
      <c r="AA33" s="52">
        <v>3.5715064961769833</v>
      </c>
      <c r="AB33" s="52">
        <v>3.5443924635429411</v>
      </c>
      <c r="AC33" s="52">
        <v>3.5174940365271765</v>
      </c>
      <c r="AD33" s="52">
        <v>3.4908126096864449</v>
      </c>
      <c r="AE33" s="52">
        <v>3.4643495803194693</v>
      </c>
      <c r="AF33" s="52">
        <v>3.4381063480553755</v>
      </c>
      <c r="AG33" s="52">
        <v>3.4120843144461945</v>
      </c>
      <c r="AH33" s="52">
        <v>3.3862848825636136</v>
      </c>
      <c r="AI33" s="52">
        <v>3.3607094566000999</v>
      </c>
      <c r="AJ33" s="52">
        <v>3.3353594414745462</v>
      </c>
      <c r="AK33" s="52">
        <v>3.3102362424425582</v>
      </c>
      <c r="AL33" s="52">
        <v>3.2853412647114548</v>
      </c>
      <c r="AM33" s="52">
        <v>3.2606759130600893</v>
      </c>
      <c r="AN33" s="52">
        <v>3.2362415914635343</v>
      </c>
    </row>
    <row r="34" spans="2:40" ht="24.5" customHeight="1" x14ac:dyDescent="0.2">
      <c r="B34" s="2">
        <f t="shared" si="8"/>
        <v>0.5</v>
      </c>
      <c r="C34" s="7">
        <f t="shared" si="9"/>
        <v>0.62245933120185459</v>
      </c>
      <c r="D34" s="3">
        <f t="shared" si="7"/>
        <v>1.310238706769372E-4</v>
      </c>
      <c r="K34" s="85"/>
      <c r="L34" s="64">
        <f t="shared" si="6"/>
        <v>1.8000000000000005</v>
      </c>
      <c r="M34" s="52">
        <v>3.2396140224325745</v>
      </c>
      <c r="N34" s="52">
        <v>3.2156246997372051</v>
      </c>
      <c r="O34" s="52">
        <v>3.191860750503988</v>
      </c>
      <c r="P34" s="52">
        <v>3.1683235222492443</v>
      </c>
      <c r="Q34" s="52">
        <v>3.14501435893377</v>
      </c>
      <c r="R34" s="52">
        <v>3.1219346006874251</v>
      </c>
      <c r="S34" s="52">
        <v>3.0990855835389035</v>
      </c>
      <c r="T34" s="52">
        <v>3.0764686391505385</v>
      </c>
      <c r="U34" s="52">
        <v>3.0540850945579701</v>
      </c>
      <c r="V34" s="52">
        <v>3.0319362719145055</v>
      </c>
      <c r="W34" s="52">
        <v>3.0100234882399741</v>
      </c>
      <c r="X34" s="52">
        <v>2.9883480551738706</v>
      </c>
      <c r="Y34" s="52">
        <v>2.9669112787325753</v>
      </c>
      <c r="Z34" s="52">
        <v>2.9457144590704365</v>
      </c>
      <c r="AA34" s="52">
        <v>2.924758890244465</v>
      </c>
      <c r="AB34" s="52">
        <v>2.9040458599824239</v>
      </c>
      <c r="AC34" s="52">
        <v>2.8835766494540542</v>
      </c>
      <c r="AD34" s="52">
        <v>2.8633525330451968</v>
      </c>
      <c r="AE34" s="52">
        <v>2.8433747781345646</v>
      </c>
      <c r="AF34" s="52">
        <v>2.8236446448728887</v>
      </c>
      <c r="AG34" s="52">
        <v>2.8041633859642228</v>
      </c>
      <c r="AH34" s="52">
        <v>2.784932246449126</v>
      </c>
      <c r="AI34" s="52">
        <v>2.765952463489481</v>
      </c>
      <c r="AJ34" s="52">
        <v>2.7472252661547127</v>
      </c>
      <c r="AK34" s="52">
        <v>2.728751875209154</v>
      </c>
      <c r="AL34" s="52">
        <v>2.7105335029003248</v>
      </c>
      <c r="AM34" s="52">
        <v>2.6925713527479207</v>
      </c>
      <c r="AN34" s="52">
        <v>2.6748666193332511</v>
      </c>
    </row>
    <row r="35" spans="2:40" ht="24.5" customHeight="1" x14ac:dyDescent="0.2">
      <c r="B35" s="2">
        <f t="shared" si="8"/>
        <v>1</v>
      </c>
      <c r="C35" s="7">
        <f t="shared" si="9"/>
        <v>0.7310585786300049</v>
      </c>
      <c r="D35" s="3">
        <f t="shared" si="7"/>
        <v>3.7809005062703797E-4</v>
      </c>
      <c r="K35" s="85"/>
      <c r="L35" s="64">
        <f t="shared" si="6"/>
        <v>1.9000000000000006</v>
      </c>
      <c r="M35" s="52">
        <v>2.6852427548115938</v>
      </c>
      <c r="N35" s="52">
        <v>2.6677616695974429</v>
      </c>
      <c r="O35" s="52">
        <v>2.6505312134470715</v>
      </c>
      <c r="P35" s="52">
        <v>2.6335524902790937</v>
      </c>
      <c r="Q35" s="52">
        <v>2.6168265950187495</v>
      </c>
      <c r="R35" s="52">
        <v>2.6003546134315969</v>
      </c>
      <c r="S35" s="52">
        <v>2.584137621954818</v>
      </c>
      <c r="T35" s="52">
        <v>2.5681766875259981</v>
      </c>
      <c r="U35" s="52">
        <v>2.5524728674092323</v>
      </c>
      <c r="V35" s="52">
        <v>2.5370272090184813</v>
      </c>
      <c r="W35" s="52">
        <v>2.5218407497380646</v>
      </c>
      <c r="X35" s="52">
        <v>2.5069145167402418</v>
      </c>
      <c r="Y35" s="52">
        <v>2.4922495267998479</v>
      </c>
      <c r="Z35" s="52">
        <v>2.4778467861059421</v>
      </c>
      <c r="AA35" s="52">
        <v>2.4637072900705088</v>
      </c>
      <c r="AB35" s="52">
        <v>2.4498320231342108</v>
      </c>
      <c r="AC35" s="52">
        <v>2.4362219585692677</v>
      </c>
      <c r="AD35" s="52">
        <v>2.4228780582795184</v>
      </c>
      <c r="AE35" s="52">
        <v>2.4098012725977833</v>
      </c>
      <c r="AF35" s="52">
        <v>2.3969925400806411</v>
      </c>
      <c r="AG35" s="52">
        <v>2.3844527873007588</v>
      </c>
      <c r="AH35" s="52">
        <v>2.3721829286369509</v>
      </c>
      <c r="AI35" s="52">
        <v>2.3601838660621621</v>
      </c>
      <c r="AJ35" s="52">
        <v>2.3484564889295609</v>
      </c>
      <c r="AK35" s="52">
        <v>2.3370016737570039</v>
      </c>
      <c r="AL35" s="52">
        <v>2.3258202840100979</v>
      </c>
      <c r="AM35" s="52">
        <v>2.3149131698841452</v>
      </c>
      <c r="AN35" s="52">
        <v>2.304281168085248</v>
      </c>
    </row>
    <row r="36" spans="2:40" ht="24.5" customHeight="1" thickBot="1" x14ac:dyDescent="0.25">
      <c r="B36" s="2">
        <f t="shared" si="8"/>
        <v>1.5</v>
      </c>
      <c r="C36" s="7">
        <f t="shared" si="9"/>
        <v>0.81757447619364365</v>
      </c>
      <c r="D36" s="3">
        <f t="shared" si="7"/>
        <v>1.0905303674609726E-3</v>
      </c>
      <c r="K36" s="85"/>
      <c r="L36" s="64">
        <f t="shared" si="6"/>
        <v>2.0000000000000004</v>
      </c>
      <c r="M36" s="52">
        <v>2.3144374783915764</v>
      </c>
      <c r="N36" s="52">
        <v>2.3038050256944027</v>
      </c>
      <c r="O36" s="52">
        <v>2.2934396571145541</v>
      </c>
      <c r="P36" s="52">
        <v>2.2833421393843283</v>
      </c>
      <c r="Q36" s="52">
        <v>2.2735132262344515</v>
      </c>
      <c r="R36" s="52">
        <v>2.2639536581682171</v>
      </c>
      <c r="S36" s="52">
        <v>2.2546641622354753</v>
      </c>
      <c r="T36" s="52">
        <v>2.2456454518069049</v>
      </c>
      <c r="U36" s="52">
        <v>2.2368982263489832</v>
      </c>
      <c r="V36" s="52">
        <v>2.2284231712001086</v>
      </c>
      <c r="W36" s="52">
        <v>2.2202209573483107</v>
      </c>
      <c r="X36" s="52">
        <v>2.2122922412109998</v>
      </c>
      <c r="Y36" s="52">
        <v>2.2046376644172163</v>
      </c>
      <c r="Z36" s="52">
        <v>2.1972578535928338</v>
      </c>
      <c r="AA36" s="52">
        <v>2.1901534201491861</v>
      </c>
      <c r="AB36" s="52">
        <v>2.1833249600755558</v>
      </c>
      <c r="AC36" s="52">
        <v>2.1767730537360164</v>
      </c>
      <c r="AD36" s="52">
        <v>2.1704982656710525</v>
      </c>
      <c r="AE36" s="52">
        <v>2.1645011444044293</v>
      </c>
      <c r="AF36" s="52">
        <v>2.1587822222557569</v>
      </c>
      <c r="AG36" s="52">
        <v>2.15334201515918</v>
      </c>
      <c r="AH36" s="52">
        <v>2.148181022488636</v>
      </c>
      <c r="AI36" s="52">
        <v>2.1432997268900951</v>
      </c>
      <c r="AJ36" s="52">
        <v>2.138698594121204</v>
      </c>
      <c r="AK36" s="52">
        <v>2.1343780728987203</v>
      </c>
      <c r="AL36" s="52">
        <v>2.1303385947541424</v>
      </c>
      <c r="AM36" s="52">
        <v>2.126580573897892</v>
      </c>
      <c r="AN36" s="52">
        <v>2.1231044070924159</v>
      </c>
    </row>
    <row r="37" spans="2:40" ht="24.5" customHeight="1" thickBot="1" x14ac:dyDescent="0.25">
      <c r="B37" s="2">
        <f t="shared" si="8"/>
        <v>2</v>
      </c>
      <c r="C37" s="7">
        <f t="shared" si="9"/>
        <v>0.88079707797788243</v>
      </c>
      <c r="D37" s="3">
        <f t="shared" si="7"/>
        <v>3.1412132848294273E-3</v>
      </c>
      <c r="K37" s="85"/>
      <c r="L37" s="64">
        <f t="shared" si="6"/>
        <v>2.1000000000000005</v>
      </c>
      <c r="M37" s="53">
        <v>2.1267491968421872</v>
      </c>
      <c r="N37" s="53">
        <v>2.123053202956696</v>
      </c>
      <c r="O37" s="53">
        <v>2.1196305716974875</v>
      </c>
      <c r="P37" s="53">
        <v>2.116481652135386</v>
      </c>
      <c r="Q37" s="53">
        <v>2.1136067762457746</v>
      </c>
      <c r="R37" s="53">
        <v>2.1110062588005518</v>
      </c>
      <c r="S37" s="53">
        <v>2.1086803972705876</v>
      </c>
      <c r="T37" s="53">
        <v>2.1066294717389598</v>
      </c>
      <c r="U37" s="54">
        <v>2.1048537448252072</v>
      </c>
      <c r="V37" s="55">
        <v>2.1033534616208431</v>
      </c>
      <c r="W37" s="55">
        <v>2.1021288496363422</v>
      </c>
      <c r="X37" s="55">
        <v>2.1011801187597516</v>
      </c>
      <c r="Y37" s="55">
        <v>2.1005074612271426</v>
      </c>
      <c r="Z37" s="55">
        <v>2.1001110516049799</v>
      </c>
      <c r="AA37" s="55">
        <v>2.0999910467845755</v>
      </c>
      <c r="AB37" s="55">
        <v>2.1001475859886845</v>
      </c>
      <c r="AC37" s="55">
        <v>2.1005807907903145</v>
      </c>
      <c r="AD37" s="55">
        <v>2.1012907651438009</v>
      </c>
      <c r="AE37" s="55">
        <v>2.1022775954281503</v>
      </c>
      <c r="AF37" s="56">
        <v>2.1035413505026455</v>
      </c>
      <c r="AG37" s="53">
        <v>2.1050820817746922</v>
      </c>
      <c r="AH37" s="53">
        <v>2.1068998232798264</v>
      </c>
      <c r="AI37" s="53">
        <v>2.108994591773822</v>
      </c>
      <c r="AJ37" s="53">
        <v>2.1113663868367745</v>
      </c>
      <c r="AK37" s="53">
        <v>2.1140151909890452</v>
      </c>
      <c r="AL37" s="53">
        <v>2.1169409698188941</v>
      </c>
      <c r="AM37" s="53">
        <v>2.1201436721216402</v>
      </c>
      <c r="AN37" s="53">
        <v>2.123623230050137</v>
      </c>
    </row>
    <row r="38" spans="2:40" ht="24.5" customHeight="1" x14ac:dyDescent="0.2">
      <c r="B38" s="2">
        <f t="shared" si="8"/>
        <v>2.5</v>
      </c>
      <c r="C38" s="7">
        <f t="shared" si="9"/>
        <v>0.92414181997875644</v>
      </c>
      <c r="D38" s="3">
        <f t="shared" si="7"/>
        <v>9.0132986528478308E-3</v>
      </c>
      <c r="K38" s="85"/>
      <c r="L38" s="64">
        <f t="shared" si="6"/>
        <v>2.2000000000000006</v>
      </c>
      <c r="M38" s="52">
        <v>2.1155710952605267</v>
      </c>
      <c r="N38" s="52">
        <v>2.1186340707430706</v>
      </c>
      <c r="O38" s="52">
        <v>2.1219655133757453</v>
      </c>
      <c r="P38" s="52">
        <v>2.1255653234698242</v>
      </c>
      <c r="Q38" s="52">
        <v>2.1294333853626402</v>
      </c>
      <c r="R38" s="52">
        <v>2.1335695675999036</v>
      </c>
      <c r="S38" s="52">
        <v>2.1379737231286939</v>
      </c>
      <c r="T38" s="52">
        <v>2.1426456895008603</v>
      </c>
      <c r="U38" s="52">
        <v>2.1475852890864644</v>
      </c>
      <c r="V38" s="52">
        <v>2.1527923292969646</v>
      </c>
      <c r="W38" s="52">
        <v>2.1582666028177617</v>
      </c>
      <c r="X38" s="52">
        <v>2.1640078878497251</v>
      </c>
      <c r="Y38" s="52">
        <v>2.1700159483593136</v>
      </c>
      <c r="Z38" s="52">
        <v>2.1762905343368835</v>
      </c>
      <c r="AA38" s="52">
        <v>2.1828313820627532</v>
      </c>
      <c r="AB38" s="52">
        <v>2.1896382143805866</v>
      </c>
      <c r="AC38" s="52">
        <v>2.1967107409776441</v>
      </c>
      <c r="AD38" s="52">
        <v>2.2040486586714376</v>
      </c>
      <c r="AE38" s="52">
        <v>2.2116516517023133</v>
      </c>
      <c r="AF38" s="52">
        <v>2.2195193920314886</v>
      </c>
      <c r="AG38" s="52">
        <v>2.2276515396440222</v>
      </c>
      <c r="AH38" s="52">
        <v>2.2360477428562553</v>
      </c>
      <c r="AI38" s="52">
        <v>2.2447076386271805</v>
      </c>
      <c r="AJ38" s="52">
        <v>2.2536308528732527</v>
      </c>
      <c r="AK38" s="52">
        <v>2.2628170007861139</v>
      </c>
      <c r="AL38" s="52">
        <v>2.2722656871527089</v>
      </c>
      <c r="AM38" s="52">
        <v>2.2819765066772879</v>
      </c>
      <c r="AN38" s="52">
        <v>2.2919490443047641</v>
      </c>
    </row>
    <row r="39" spans="2:40" ht="24.5" customHeight="1" x14ac:dyDescent="0.2">
      <c r="B39" s="2">
        <f t="shared" si="8"/>
        <v>3</v>
      </c>
      <c r="C39" s="7">
        <f t="shared" si="9"/>
        <v>0.95257412682243325</v>
      </c>
      <c r="D39" s="3">
        <f t="shared" si="7"/>
        <v>2.5580788312007694E-2</v>
      </c>
      <c r="K39" s="85"/>
      <c r="L39" s="64">
        <f t="shared" si="6"/>
        <v>2.3000000000000007</v>
      </c>
      <c r="M39" s="52">
        <v>2.2683295474956706</v>
      </c>
      <c r="N39" s="52">
        <v>2.2777188428631554</v>
      </c>
      <c r="O39" s="52">
        <v>2.2873618383926102</v>
      </c>
      <c r="P39" s="52">
        <v>2.2972581031677262</v>
      </c>
      <c r="Q39" s="52">
        <v>2.307407197513323</v>
      </c>
      <c r="R39" s="52">
        <v>2.3178086733297416</v>
      </c>
      <c r="S39" s="52">
        <v>2.3284620744268856</v>
      </c>
      <c r="T39" s="52">
        <v>2.3393669368573904</v>
      </c>
      <c r="U39" s="52">
        <v>2.3505227892484122</v>
      </c>
      <c r="V39" s="52">
        <v>2.3619291531314901</v>
      </c>
      <c r="W39" s="52">
        <v>2.3735855432700061</v>
      </c>
      <c r="X39" s="52">
        <v>2.3854914679837416</v>
      </c>
      <c r="Y39" s="52">
        <v>2.3976464294700119</v>
      </c>
      <c r="Z39" s="52">
        <v>2.4100499241209543</v>
      </c>
      <c r="AA39" s="52">
        <v>2.4227014428364724</v>
      </c>
      <c r="AB39" s="52">
        <v>2.4356004713323913</v>
      </c>
      <c r="AC39" s="52">
        <v>2.4487464904434151</v>
      </c>
      <c r="AD39" s="52">
        <v>2.4621389764204431</v>
      </c>
      <c r="AE39" s="52">
        <v>2.4757774012218738</v>
      </c>
      <c r="AF39" s="52">
        <v>2.4896612327984999</v>
      </c>
      <c r="AG39" s="52">
        <v>2.503789935371648</v>
      </c>
      <c r="AH39" s="52">
        <v>2.5181629697042154</v>
      </c>
      <c r="AI39" s="52">
        <v>2.5327797933642997</v>
      </c>
      <c r="AJ39" s="52">
        <v>2.5476398609811346</v>
      </c>
      <c r="AK39" s="52">
        <v>2.5627426244930347</v>
      </c>
      <c r="AL39" s="52">
        <v>2.578087533387154</v>
      </c>
      <c r="AM39" s="52">
        <v>2.5936740349307827</v>
      </c>
      <c r="AN39" s="52">
        <v>2.6095015743940473</v>
      </c>
    </row>
    <row r="40" spans="2:40" ht="24.5" customHeight="1" x14ac:dyDescent="0.2">
      <c r="B40" s="2">
        <f t="shared" si="8"/>
        <v>3.5</v>
      </c>
      <c r="C40" s="7">
        <f t="shared" si="9"/>
        <v>0.97068776924864364</v>
      </c>
      <c r="D40" s="3">
        <f t="shared" si="7"/>
        <v>7.0436730892817073E-2</v>
      </c>
      <c r="K40" s="85"/>
      <c r="L40" s="64">
        <f t="shared" si="6"/>
        <v>2.4000000000000008</v>
      </c>
      <c r="M40" s="52">
        <v>2.5676400803200781</v>
      </c>
      <c r="N40" s="52">
        <v>2.5827457746021865</v>
      </c>
      <c r="O40" s="52">
        <v>2.5980850113872092</v>
      </c>
      <c r="P40" s="52">
        <v>2.6136572379402021</v>
      </c>
      <c r="Q40" s="52">
        <v>2.6294619005484514</v>
      </c>
      <c r="R40" s="52">
        <v>2.6454984447288621</v>
      </c>
      <c r="S40" s="52">
        <v>2.6617663154254849</v>
      </c>
      <c r="T40" s="52">
        <v>2.678264957197046</v>
      </c>
      <c r="U40" s="52">
        <v>2.6949938143943859</v>
      </c>
      <c r="V40" s="52">
        <v>2.7119523313277258</v>
      </c>
      <c r="W40" s="52">
        <v>2.7291399524237319</v>
      </c>
      <c r="X40" s="52">
        <v>2.746556122372338</v>
      </c>
      <c r="Y40" s="52">
        <v>2.7642002862633546</v>
      </c>
      <c r="Z40" s="52">
        <v>2.7820718897129155</v>
      </c>
      <c r="AA40" s="52">
        <v>2.800170378979804</v>
      </c>
      <c r="AB40" s="52">
        <v>2.8184952010717779</v>
      </c>
      <c r="AC40" s="52">
        <v>2.8370458038420221</v>
      </c>
      <c r="AD40" s="52">
        <v>2.8558216360758686</v>
      </c>
      <c r="AE40" s="52">
        <v>2.8748221475679521</v>
      </c>
      <c r="AF40" s="52">
        <v>2.8940467891900821</v>
      </c>
      <c r="AG40" s="52">
        <v>2.9134950129499479</v>
      </c>
      <c r="AH40" s="52">
        <v>2.9331662720410252</v>
      </c>
      <c r="AI40" s="52">
        <v>2.9530600208839002</v>
      </c>
      <c r="AJ40" s="52">
        <v>2.9731757151593547</v>
      </c>
      <c r="AK40" s="52">
        <v>2.9935128118335101</v>
      </c>
      <c r="AL40" s="52">
        <v>3.0140707691754223</v>
      </c>
      <c r="AM40" s="52">
        <v>3.0348490467674503</v>
      </c>
      <c r="AN40" s="52">
        <v>3.0558471055088439</v>
      </c>
    </row>
    <row r="41" spans="2:40" ht="24.5" customHeight="1" x14ac:dyDescent="0.2">
      <c r="B41" s="2">
        <f t="shared" si="8"/>
        <v>4</v>
      </c>
      <c r="C41" s="7">
        <f t="shared" si="9"/>
        <v>0.98201379003790845</v>
      </c>
      <c r="D41" s="3">
        <f t="shared" si="7"/>
        <v>0.17946151940732688</v>
      </c>
      <c r="K41" s="85"/>
      <c r="L41" s="64">
        <f t="shared" si="6"/>
        <v>2.5000000000000009</v>
      </c>
      <c r="M41" s="52">
        <v>2.9939515032072381</v>
      </c>
      <c r="N41" s="52">
        <v>3.0141132585768649</v>
      </c>
      <c r="O41" s="52">
        <v>3.0344880264307372</v>
      </c>
      <c r="P41" s="52">
        <v>3.055075287547532</v>
      </c>
      <c r="Q41" s="52">
        <v>3.075874524690021</v>
      </c>
      <c r="R41" s="52">
        <v>3.0968852225752261</v>
      </c>
      <c r="S41" s="52">
        <v>3.1181068678375028</v>
      </c>
      <c r="T41" s="52">
        <v>3.1395389489849839</v>
      </c>
      <c r="U41" s="52">
        <v>3.1611809563499209</v>
      </c>
      <c r="V41" s="52">
        <v>3.1830323820332973</v>
      </c>
      <c r="W41" s="52">
        <v>3.2050927198443109</v>
      </c>
      <c r="X41" s="52">
        <v>3.2273614652351821</v>
      </c>
      <c r="Y41" s="52">
        <v>3.2498381152318121</v>
      </c>
      <c r="Z41" s="52">
        <v>3.2725221683608261</v>
      </c>
      <c r="AA41" s="52">
        <v>3.2954131245735532</v>
      </c>
      <c r="AB41" s="52">
        <v>3.3185104851674421</v>
      </c>
      <c r="AC41" s="52">
        <v>3.3418137527054963</v>
      </c>
      <c r="AD41" s="52">
        <v>3.3653224309342851</v>
      </c>
      <c r="AE41" s="52">
        <v>3.3890360247010172</v>
      </c>
      <c r="AF41" s="52">
        <v>3.4129540398703204</v>
      </c>
      <c r="AG41" s="52">
        <v>3.4370759832411828</v>
      </c>
      <c r="AH41" s="52">
        <v>3.4614013624646507</v>
      </c>
      <c r="AI41" s="52">
        <v>3.4859296859628017</v>
      </c>
      <c r="AJ41" s="52">
        <v>3.5106604628495255</v>
      </c>
      <c r="AK41" s="52">
        <v>3.5355932028536321</v>
      </c>
      <c r="AL41" s="52">
        <v>3.5607274162447862</v>
      </c>
      <c r="AM41" s="52">
        <v>3.5860626137627576</v>
      </c>
      <c r="AN41" s="52">
        <v>3.6115983065505031</v>
      </c>
    </row>
    <row r="42" spans="2:40" ht="24.5" customHeight="1" x14ac:dyDescent="0.2">
      <c r="B42" s="2">
        <f t="shared" si="8"/>
        <v>4.5</v>
      </c>
      <c r="C42" s="7">
        <f t="shared" si="9"/>
        <v>0.98901305736940681</v>
      </c>
      <c r="D42" s="3">
        <f t="shared" si="7"/>
        <v>0.38698582386066477</v>
      </c>
      <c r="K42" s="85"/>
      <c r="L42" s="64">
        <f t="shared" si="6"/>
        <v>2.600000000000001</v>
      </c>
      <c r="M42" s="52">
        <v>3.5285107760967369</v>
      </c>
      <c r="N42" s="52">
        <v>3.5531200148268347</v>
      </c>
      <c r="O42" s="52">
        <v>3.5779239657018076</v>
      </c>
      <c r="P42" s="52">
        <v>3.6029221701287684</v>
      </c>
      <c r="Q42" s="52">
        <v>3.6281141698477404</v>
      </c>
      <c r="R42" s="52">
        <v>3.6534995068250455</v>
      </c>
      <c r="S42" s="52">
        <v>3.6790777231510883</v>
      </c>
      <c r="T42" s="52">
        <v>3.7048483609429397</v>
      </c>
      <c r="U42" s="52">
        <v>3.7308109622522814</v>
      </c>
      <c r="V42" s="52">
        <v>3.7569650689791816</v>
      </c>
      <c r="W42" s="52">
        <v>3.7833102227920676</v>
      </c>
      <c r="X42" s="52">
        <v>3.8098459650544436</v>
      </c>
      <c r="Y42" s="52">
        <v>3.8365718367586528</v>
      </c>
      <c r="Z42" s="52">
        <v>3.8634873784671004</v>
      </c>
      <c r="AA42" s="52">
        <v>3.8905921302613145</v>
      </c>
      <c r="AB42" s="52">
        <v>3.9178856316991579</v>
      </c>
      <c r="AC42" s="52">
        <v>3.9453674217804648</v>
      </c>
      <c r="AD42" s="52">
        <v>3.9730370389214489</v>
      </c>
      <c r="AE42" s="52">
        <v>4.0008940209380484</v>
      </c>
      <c r="AF42" s="52">
        <v>4.0289379050384815</v>
      </c>
      <c r="AG42" s="52">
        <v>4.0571682278252004</v>
      </c>
      <c r="AH42" s="52">
        <v>4.0855845253063459</v>
      </c>
      <c r="AI42" s="52">
        <v>4.1141863329169235</v>
      </c>
      <c r="AJ42" s="52">
        <v>4.1429731855497138</v>
      </c>
      <c r="AK42" s="52">
        <v>4.1719446175960249</v>
      </c>
      <c r="AL42" s="52">
        <v>4.2011001629963216</v>
      </c>
      <c r="AM42" s="52">
        <v>4.2304393553007253</v>
      </c>
      <c r="AN42" s="52">
        <v>4.2599617277393627</v>
      </c>
    </row>
    <row r="43" spans="2:40" ht="24.5" customHeight="1" x14ac:dyDescent="0.2">
      <c r="B43" s="2">
        <f t="shared" si="8"/>
        <v>5</v>
      </c>
      <c r="C43" s="7">
        <f t="shared" si="9"/>
        <v>0.99330714907571516</v>
      </c>
      <c r="D43" s="3">
        <f t="shared" si="7"/>
        <v>0.64565630622579584</v>
      </c>
      <c r="K43" s="85"/>
      <c r="L43" s="64">
        <f t="shared" si="6"/>
        <v>2.7000000000000011</v>
      </c>
      <c r="M43" s="52">
        <v>4.1550913216178484</v>
      </c>
      <c r="N43" s="52">
        <v>4.1836240320630917</v>
      </c>
      <c r="O43" s="52">
        <v>4.2123352045742539</v>
      </c>
      <c r="P43" s="52">
        <v>4.24122439547304</v>
      </c>
      <c r="Q43" s="52">
        <v>4.2702911598015518</v>
      </c>
      <c r="R43" s="52">
        <v>4.2995350513646624</v>
      </c>
      <c r="S43" s="52">
        <v>4.3289556227833659</v>
      </c>
      <c r="T43" s="52">
        <v>4.3585524255591572</v>
      </c>
      <c r="U43" s="52">
        <v>4.3883250101492557</v>
      </c>
      <c r="V43" s="52">
        <v>4.418272926052718</v>
      </c>
      <c r="W43" s="52">
        <v>4.4483957219072128</v>
      </c>
      <c r="X43" s="52">
        <v>4.4786929455963786</v>
      </c>
      <c r="Y43" s="52">
        <v>4.5091641443675154</v>
      </c>
      <c r="Z43" s="52">
        <v>4.5398088649594701</v>
      </c>
      <c r="AA43" s="52">
        <v>4.5706266537404643</v>
      </c>
      <c r="AB43" s="52">
        <v>4.6016170568555017</v>
      </c>
      <c r="AC43" s="52">
        <v>4.6327796203832126</v>
      </c>
      <c r="AD43" s="52">
        <v>4.664113890501695</v>
      </c>
      <c r="AE43" s="52">
        <v>4.6956194136631009</v>
      </c>
      <c r="AF43" s="52">
        <v>4.7272957367764965</v>
      </c>
      <c r="AG43" s="52">
        <v>4.7591424073986621</v>
      </c>
      <c r="AH43" s="52">
        <v>4.7911589739324745</v>
      </c>
      <c r="AI43" s="52">
        <v>4.8233449858322954</v>
      </c>
      <c r="AJ43" s="52">
        <v>4.8556999938160388</v>
      </c>
      <c r="AK43" s="52">
        <v>4.8882235500833957</v>
      </c>
      <c r="AL43" s="52">
        <v>4.9209152085397054</v>
      </c>
      <c r="AM43" s="52">
        <v>4.953774525024996</v>
      </c>
      <c r="AN43" s="52">
        <v>4.986801057547698</v>
      </c>
    </row>
    <row r="44" spans="2:40" ht="24.5" customHeight="1" x14ac:dyDescent="0.2">
      <c r="B44" s="2">
        <f t="shared" si="8"/>
        <v>5.5</v>
      </c>
      <c r="C44" s="7">
        <f t="shared" si="9"/>
        <v>0.99592986228410385</v>
      </c>
      <c r="D44" s="3">
        <f t="shared" si="7"/>
        <v>0.84023800305633101</v>
      </c>
      <c r="K44" s="85"/>
      <c r="L44" s="64">
        <f t="shared" si="6"/>
        <v>2.8000000000000012</v>
      </c>
      <c r="M44" s="52">
        <v>4.8601205235147855</v>
      </c>
      <c r="N44" s="52">
        <v>4.8921190403545758</v>
      </c>
      <c r="O44" s="52">
        <v>4.924280788240682</v>
      </c>
      <c r="P44" s="52">
        <v>4.9566053222516313</v>
      </c>
      <c r="Q44" s="52">
        <v>4.989092198171905</v>
      </c>
      <c r="R44" s="52">
        <v>5.0217409727283222</v>
      </c>
      <c r="S44" s="52">
        <v>5.0545512038325411</v>
      </c>
      <c r="T44" s="52">
        <v>5.0875224508291987</v>
      </c>
      <c r="U44" s="52">
        <v>5.1206542747490253</v>
      </c>
      <c r="V44" s="52">
        <v>5.1539462385665633</v>
      </c>
      <c r="W44" s="52">
        <v>5.1873979074617029</v>
      </c>
      <c r="X44" s="52">
        <v>5.2210088490846855</v>
      </c>
      <c r="Y44" s="52">
        <v>5.2547786338238893</v>
      </c>
      <c r="Z44" s="52">
        <v>5.2887068350757573</v>
      </c>
      <c r="AA44" s="52">
        <v>5.3227930295164434</v>
      </c>
      <c r="AB44" s="52">
        <v>5.3570367973743709</v>
      </c>
      <c r="AC44" s="52">
        <v>5.3914377227033476</v>
      </c>
      <c r="AD44" s="52">
        <v>5.4259953936554419</v>
      </c>
      <c r="AE44" s="52">
        <v>5.4607094027530811</v>
      </c>
      <c r="AF44" s="52">
        <v>5.4955793471598771</v>
      </c>
      <c r="AG44" s="52">
        <v>5.5306048289494516</v>
      </c>
      <c r="AH44" s="52">
        <v>5.5657854553717208</v>
      </c>
      <c r="AI44" s="52">
        <v>5.6011208391161329</v>
      </c>
      <c r="AJ44" s="52">
        <v>5.6366105985711616</v>
      </c>
      <c r="AK44" s="52">
        <v>5.6722543580795639</v>
      </c>
      <c r="AL44" s="52">
        <v>5.7080517481888773</v>
      </c>
      <c r="AM44" s="52">
        <v>5.74400240589648</v>
      </c>
      <c r="AN44" s="52">
        <v>5.7801059748888166</v>
      </c>
    </row>
    <row r="45" spans="2:40" ht="24.5" customHeight="1" x14ac:dyDescent="0.2">
      <c r="B45" s="2">
        <f t="shared" si="8"/>
        <v>6</v>
      </c>
      <c r="C45" s="7">
        <f t="shared" si="9"/>
        <v>0.99752737684336523</v>
      </c>
      <c r="D45" s="3">
        <f t="shared" si="7"/>
        <v>0.93819653373641143</v>
      </c>
      <c r="K45" s="85"/>
      <c r="L45" s="64">
        <f t="shared" si="6"/>
        <v>2.9000000000000012</v>
      </c>
      <c r="M45" s="52">
        <v>5.6320277645448238</v>
      </c>
      <c r="N45" s="52">
        <v>5.667078957744053</v>
      </c>
      <c r="O45" s="52">
        <v>5.7022791358020681</v>
      </c>
      <c r="P45" s="52">
        <v>5.7376279073949839</v>
      </c>
      <c r="Q45" s="52">
        <v>5.7731248867292173</v>
      </c>
      <c r="R45" s="52">
        <v>5.8087696938194071</v>
      </c>
      <c r="S45" s="52">
        <v>5.8445619547616747</v>
      </c>
      <c r="T45" s="52">
        <v>5.8805013020018793</v>
      </c>
      <c r="U45" s="52">
        <v>5.9165873745979356</v>
      </c>
      <c r="V45" s="52">
        <v>5.9528198184759802</v>
      </c>
      <c r="W45" s="52">
        <v>5.9891982866797919</v>
      </c>
      <c r="X45" s="52">
        <v>6.0257224396129496</v>
      </c>
      <c r="Y45" s="52">
        <v>6.0623919452731254</v>
      </c>
      <c r="Z45" s="52">
        <v>6.0992064794782213</v>
      </c>
      <c r="AA45" s="52">
        <v>6.1361657260839433</v>
      </c>
      <c r="AB45" s="52">
        <v>6.1732693771919251</v>
      </c>
      <c r="AC45" s="52">
        <v>6.2105171333486382</v>
      </c>
      <c r="AD45" s="52">
        <v>6.2479087037341907</v>
      </c>
      <c r="AE45" s="52">
        <v>6.2854438063407274</v>
      </c>
      <c r="AF45" s="52">
        <v>6.3231221681402605</v>
      </c>
      <c r="AG45" s="52">
        <v>6.3609435252413551</v>
      </c>
      <c r="AH45" s="52">
        <v>6.3989076230343827</v>
      </c>
      <c r="AI45" s="52">
        <v>6.4370142163251804</v>
      </c>
      <c r="AJ45" s="52">
        <v>6.4752630694566378</v>
      </c>
      <c r="AK45" s="52">
        <v>6.5136539564180813</v>
      </c>
      <c r="AL45" s="52">
        <v>6.5521866609421728</v>
      </c>
      <c r="AM45" s="52">
        <v>6.590860976589024</v>
      </c>
      <c r="AN45" s="52">
        <v>6.6296767068173486</v>
      </c>
    </row>
    <row r="46" spans="2:40" ht="24.5" customHeight="1" x14ac:dyDescent="0.2">
      <c r="B46" s="2">
        <f t="shared" si="8"/>
        <v>6.5</v>
      </c>
      <c r="C46" s="7">
        <f t="shared" si="9"/>
        <v>0.99849881774326299</v>
      </c>
      <c r="D46" s="3">
        <f t="shared" si="7"/>
        <v>0.97768656130096776</v>
      </c>
      <c r="K46" s="85"/>
      <c r="L46" s="64">
        <f t="shared" si="6"/>
        <v>3.0000000000000013</v>
      </c>
      <c r="M46" s="52">
        <v>6.4607672114241996</v>
      </c>
      <c r="N46" s="52">
        <v>6.4985045488908737</v>
      </c>
      <c r="O46" s="52">
        <v>6.5363787712142525</v>
      </c>
      <c r="P46" s="52">
        <v>6.574389627265953</v>
      </c>
      <c r="Q46" s="52">
        <v>6.6125368757005463</v>
      </c>
      <c r="R46" s="52">
        <v>6.6508202850888249</v>
      </c>
      <c r="S46" s="52">
        <v>6.6892396340386151</v>
      </c>
      <c r="T46" s="52">
        <v>6.7277947113031082</v>
      </c>
      <c r="U46" s="52">
        <v>6.7664853158762046</v>
      </c>
      <c r="V46" s="52">
        <v>6.8053112570748606</v>
      </c>
      <c r="W46" s="52">
        <v>6.8442723546080657</v>
      </c>
      <c r="X46" s="52">
        <v>6.8833684386323668</v>
      </c>
      <c r="Y46" s="52">
        <v>6.9225993497942717</v>
      </c>
      <c r="Z46" s="52">
        <v>6.9619649392584577</v>
      </c>
      <c r="AA46" s="52">
        <v>7.0014650687224353</v>
      </c>
      <c r="AB46" s="52">
        <v>7.0410996104174508</v>
      </c>
      <c r="AC46" s="52">
        <v>7.0808684470956065</v>
      </c>
      <c r="AD46" s="52">
        <v>7.1207714720025361</v>
      </c>
      <c r="AE46" s="52">
        <v>7.1608085888369084</v>
      </c>
      <c r="AF46" s="52">
        <v>7.200979711695501</v>
      </c>
      <c r="AG46" s="52">
        <v>7.2412847650044609</v>
      </c>
      <c r="AH46" s="52">
        <v>7.2817236834369696</v>
      </c>
      <c r="AI46" s="52">
        <v>7.322296411816863</v>
      </c>
      <c r="AJ46" s="52">
        <v>7.3630029050089014</v>
      </c>
      <c r="AK46" s="52">
        <v>7.4038431277952643</v>
      </c>
      <c r="AL46" s="52">
        <v>7.4448170547387598</v>
      </c>
      <c r="AM46" s="52">
        <v>7.4859246700328743</v>
      </c>
      <c r="AN46" s="52">
        <v>7.5271659673385312</v>
      </c>
    </row>
    <row r="47" spans="2:40" ht="24.5" customHeight="1" x14ac:dyDescent="0.2">
      <c r="B47" s="2">
        <f t="shared" si="8"/>
        <v>7</v>
      </c>
      <c r="C47" s="7">
        <f t="shared" si="9"/>
        <v>0.9990889488055994</v>
      </c>
      <c r="D47" s="3">
        <f t="shared" si="7"/>
        <v>0.99215497696954436</v>
      </c>
      <c r="K47" s="85"/>
      <c r="L47" s="64">
        <f t="shared" si="6"/>
        <v>3.1000000000000014</v>
      </c>
      <c r="M47" s="52">
        <v>7.3378258659037181</v>
      </c>
      <c r="N47" s="52">
        <v>7.3779488707003047</v>
      </c>
      <c r="O47" s="52">
        <v>7.4182001382760214</v>
      </c>
      <c r="P47" s="52">
        <v>7.4585796129455648</v>
      </c>
      <c r="Q47" s="52">
        <v>7.4990872497126784</v>
      </c>
      <c r="R47" s="52">
        <v>7.5397230141694074</v>
      </c>
      <c r="S47" s="52">
        <v>7.5804868823817921</v>
      </c>
      <c r="T47" s="52">
        <v>7.6213788407620244</v>
      </c>
      <c r="U47" s="52">
        <v>7.662398885926871</v>
      </c>
      <c r="V47" s="52">
        <v>7.7035470245431306</v>
      </c>
      <c r="W47" s="52">
        <v>7.7448232731596276</v>
      </c>
      <c r="X47" s="52">
        <v>7.7862276580267142</v>
      </c>
      <c r="Y47" s="52">
        <v>7.8277602149026073</v>
      </c>
      <c r="Z47" s="52">
        <v>7.8694209888475788</v>
      </c>
      <c r="AA47" s="52">
        <v>7.9112100340056655</v>
      </c>
      <c r="AB47" s="52">
        <v>7.9531274133745589</v>
      </c>
      <c r="AC47" s="52">
        <v>7.9951731985638164</v>
      </c>
      <c r="AD47" s="52">
        <v>8.0373474695415403</v>
      </c>
      <c r="AE47" s="52">
        <v>8.0796503143702978</v>
      </c>
      <c r="AF47" s="52">
        <v>8.1220818289319414</v>
      </c>
      <c r="AG47" s="52">
        <v>8.1646421166424048</v>
      </c>
      <c r="AH47" s="52">
        <v>8.207331288156384</v>
      </c>
      <c r="AI47" s="52">
        <v>8.2501494610627013</v>
      </c>
      <c r="AJ47" s="52">
        <v>8.2930967595696927</v>
      </c>
      <c r="AK47" s="52">
        <v>8.3361733141831529</v>
      </c>
      <c r="AL47" s="52">
        <v>8.3793792613745843</v>
      </c>
      <c r="AM47" s="52">
        <v>8.4227147432428584</v>
      </c>
      <c r="AN47" s="52">
        <v>8.4661799071675521</v>
      </c>
    </row>
    <row r="48" spans="2:40" ht="24.5" customHeight="1" x14ac:dyDescent="0.2">
      <c r="B48" s="2">
        <f t="shared" si="8"/>
        <v>7.5</v>
      </c>
      <c r="C48" s="7">
        <f t="shared" si="9"/>
        <v>0.9994472213630764</v>
      </c>
      <c r="D48" s="3">
        <f t="shared" si="7"/>
        <v>0.99726803923698892</v>
      </c>
      <c r="K48" s="85"/>
      <c r="L48" s="64">
        <f t="shared" si="6"/>
        <v>3.2000000000000015</v>
      </c>
      <c r="M48" s="52">
        <v>8.2564509512615718</v>
      </c>
      <c r="N48" s="52">
        <v>8.2987411493277161</v>
      </c>
      <c r="O48" s="52">
        <v>8.3411549623468026</v>
      </c>
      <c r="P48" s="52">
        <v>8.3836925192853116</v>
      </c>
      <c r="Q48" s="52">
        <v>8.4263539567054799</v>
      </c>
      <c r="R48" s="52">
        <v>8.4691394184556223</v>
      </c>
      <c r="S48" s="52">
        <v>8.5120490553514045</v>
      </c>
      <c r="T48" s="52">
        <v>8.5550830248473257</v>
      </c>
      <c r="U48" s="52">
        <v>8.5982414907003761</v>
      </c>
      <c r="V48" s="52">
        <v>8.6415246226251625</v>
      </c>
      <c r="W48" s="52">
        <v>8.6849325959415147</v>
      </c>
      <c r="X48" s="52">
        <v>8.7284655912144142</v>
      </c>
      <c r="Y48" s="52">
        <v>8.7721237938878431</v>
      </c>
      <c r="Z48" s="52">
        <v>8.8159073939113703</v>
      </c>
      <c r="AA48" s="52">
        <v>8.8598165853623048</v>
      </c>
      <c r="AB48" s="52">
        <v>8.9038515660610571</v>
      </c>
      <c r="AC48" s="52">
        <v>8.9480125371828212</v>
      </c>
      <c r="AD48" s="52">
        <v>8.992299702864976</v>
      </c>
      <c r="AE48" s="52">
        <v>9.036713269809777</v>
      </c>
      <c r="AF48" s="52">
        <v>9.0812534468857109</v>
      </c>
      <c r="AG48" s="52">
        <v>9.1259204447245779</v>
      </c>
      <c r="AH48" s="52">
        <v>9.1707144753179968</v>
      </c>
      <c r="AI48" s="52">
        <v>9.2156357516111882</v>
      </c>
      <c r="AJ48" s="52">
        <v>9.2606844870977287</v>
      </c>
      <c r="AK48" s="52">
        <v>9.305860895412291</v>
      </c>
      <c r="AL48" s="52">
        <v>9.351165189925112</v>
      </c>
      <c r="AM48" s="52">
        <v>9.3965975833370443</v>
      </c>
      <c r="AN48" s="52">
        <v>9.4421582872762766</v>
      </c>
    </row>
    <row r="49" spans="2:40" ht="24.5" customHeight="1" x14ac:dyDescent="0.2">
      <c r="B49" s="2">
        <f t="shared" si="8"/>
        <v>8</v>
      </c>
      <c r="C49" s="7">
        <f t="shared" si="9"/>
        <v>0.99966464986953352</v>
      </c>
      <c r="D49" s="3">
        <f t="shared" si="7"/>
        <v>0.99905180335564625</v>
      </c>
      <c r="K49" s="85"/>
      <c r="L49" s="64">
        <f t="shared" si="6"/>
        <v>3.3000000000000016</v>
      </c>
      <c r="M49" s="52">
        <v>9.2117315462237706</v>
      </c>
      <c r="N49" s="52">
        <v>9.2560510571662373</v>
      </c>
      <c r="O49" s="52">
        <v>9.3004928471901387</v>
      </c>
      <c r="P49" s="52">
        <v>9.3450571567168268</v>
      </c>
      <c r="Q49" s="52">
        <v>9.3897442277899081</v>
      </c>
      <c r="R49" s="52">
        <v>9.4345543036603914</v>
      </c>
      <c r="S49" s="52">
        <v>9.4794876283693608</v>
      </c>
      <c r="T49" s="52">
        <v>9.5245444463308289</v>
      </c>
      <c r="U49" s="52">
        <v>9.5697250019133371</v>
      </c>
      <c r="V49" s="52">
        <v>9.6150295390227125</v>
      </c>
      <c r="W49" s="52">
        <v>9.6604583006850913</v>
      </c>
      <c r="X49" s="52">
        <v>9.7060115286320769</v>
      </c>
      <c r="Y49" s="52">
        <v>9.7516894628869206</v>
      </c>
      <c r="Z49" s="52">
        <v>9.7974923413550616</v>
      </c>
      <c r="AA49" s="52">
        <v>9.8434203994164822</v>
      </c>
      <c r="AB49" s="52">
        <v>9.8894738695229609</v>
      </c>
      <c r="AC49" s="52">
        <v>9.9356529807985279</v>
      </c>
      <c r="AD49" s="52">
        <v>9.9819579586476888</v>
      </c>
      <c r="AE49" s="52">
        <v>10.028389024366152</v>
      </c>
      <c r="AF49" s="52">
        <v>10.074946394760547</v>
      </c>
      <c r="AG49" s="52">
        <v>10.121630281773676</v>
      </c>
      <c r="AH49" s="52">
        <v>10.16844089211744</v>
      </c>
      <c r="AI49" s="52">
        <v>10.215378426914102</v>
      </c>
      <c r="AJ49" s="52">
        <v>10.2624430813465</v>
      </c>
      <c r="AK49" s="52">
        <v>10.309635044317622</v>
      </c>
      <c r="AL49" s="52">
        <v>10.356954498118201</v>
      </c>
      <c r="AM49" s="52">
        <v>10.404401618106952</v>
      </c>
      <c r="AN49" s="52">
        <v>10.451976572400593</v>
      </c>
    </row>
    <row r="50" spans="2:40" ht="24.5" customHeight="1" x14ac:dyDescent="0.2">
      <c r="B50" s="2">
        <f t="shared" si="8"/>
        <v>8.5</v>
      </c>
      <c r="C50" s="7">
        <f t="shared" si="9"/>
        <v>0.9997965730219448</v>
      </c>
      <c r="D50" s="3">
        <f t="shared" si="7"/>
        <v>0.99967128806425221</v>
      </c>
      <c r="K50" s="85"/>
      <c r="L50" s="64">
        <f t="shared" si="6"/>
        <v>3.4000000000000017</v>
      </c>
      <c r="M50" s="52">
        <v>10.200375036959125</v>
      </c>
      <c r="N50" s="52">
        <v>10.246646948355867</v>
      </c>
      <c r="O50" s="52">
        <v>10.293041573700808</v>
      </c>
      <c r="P50" s="52">
        <v>10.339559157195854</v>
      </c>
      <c r="Q50" s="52">
        <v>10.38619993788115</v>
      </c>
      <c r="R50" s="52">
        <v>10.43296414925728</v>
      </c>
      <c r="S50" s="52">
        <v>10.479852018912144</v>
      </c>
      <c r="T50" s="52">
        <v>10.526863768158762</v>
      </c>
      <c r="U50" s="52">
        <v>10.573999611679714</v>
      </c>
      <c r="V50" s="52">
        <v>10.621259757184568</v>
      </c>
      <c r="W50" s="52">
        <v>10.668644405072559</v>
      </c>
      <c r="X50" s="52">
        <v>10.71615374810967</v>
      </c>
      <c r="Y50" s="52">
        <v>10.76378797111604</v>
      </c>
      <c r="Z50" s="52">
        <v>10.811547250663088</v>
      </c>
      <c r="AA50" s="52">
        <v>10.859431754786423</v>
      </c>
      <c r="AB50" s="52">
        <v>10.907441642705441</v>
      </c>
      <c r="AC50" s="52">
        <v>10.955577064563577</v>
      </c>
      <c r="AD50" s="52">
        <v>11.00383816117437</v>
      </c>
      <c r="AE50" s="52">
        <v>11.052225063786967</v>
      </c>
      <c r="AF50" s="52">
        <v>11.10073789386283</v>
      </c>
      <c r="AG50" s="52">
        <v>11.149376762868327</v>
      </c>
      <c r="AH50" s="52">
        <v>11.198141772081328</v>
      </c>
      <c r="AI50" s="52">
        <v>11.247033012413647</v>
      </c>
      <c r="AJ50" s="52">
        <v>11.29605056424889</v>
      </c>
      <c r="AK50" s="52">
        <v>11.34519449729757</v>
      </c>
      <c r="AL50" s="52">
        <v>11.394464870463461</v>
      </c>
      <c r="AM50" s="52">
        <v>11.443861731733129</v>
      </c>
      <c r="AN50" s="52">
        <v>11.493385118075512</v>
      </c>
    </row>
    <row r="51" spans="2:40" ht="24.5" customHeight="1" x14ac:dyDescent="0.2">
      <c r="B51" s="2">
        <f t="shared" si="8"/>
        <v>9</v>
      </c>
      <c r="C51" s="7">
        <f t="shared" si="9"/>
        <v>0.9998766054240138</v>
      </c>
      <c r="D51" s="3">
        <f t="shared" si="7"/>
        <v>0.99988609136919759</v>
      </c>
      <c r="K51" s="85"/>
      <c r="L51" s="64">
        <f t="shared" si="6"/>
        <v>3.5000000000000018</v>
      </c>
      <c r="M51" s="52">
        <v>11.220232060525685</v>
      </c>
      <c r="N51" s="52">
        <v>11.268410090874792</v>
      </c>
      <c r="O51" s="52">
        <v>11.31671118589114</v>
      </c>
      <c r="P51" s="52">
        <v>11.365135488266816</v>
      </c>
      <c r="Q51" s="52">
        <v>11.413683130225856</v>
      </c>
      <c r="R51" s="52">
        <v>11.462354233313462</v>
      </c>
      <c r="S51" s="52">
        <v>11.51114890820357</v>
      </c>
      <c r="T51" s="52">
        <v>11.560067254520904</v>
      </c>
      <c r="U51" s="52">
        <v>11.609109360676634</v>
      </c>
      <c r="V51" s="52">
        <v>11.658275303723794</v>
      </c>
      <c r="W51" s="52">
        <v>11.707565149226225</v>
      </c>
      <c r="X51" s="52">
        <v>11.756978951143026</v>
      </c>
      <c r="Y51" s="52">
        <v>11.806516751733497</v>
      </c>
      <c r="Z51" s="52">
        <v>11.856178581474241</v>
      </c>
      <c r="AA51" s="52">
        <v>11.90596445899641</v>
      </c>
      <c r="AB51" s="52">
        <v>11.955874391039318</v>
      </c>
      <c r="AC51" s="52">
        <v>12.005908372417757</v>
      </c>
      <c r="AD51" s="52">
        <v>12.056066386011487</v>
      </c>
      <c r="AE51" s="52">
        <v>12.106348402769965</v>
      </c>
      <c r="AF51" s="52">
        <v>12.156754381731927</v>
      </c>
      <c r="AG51" s="52">
        <v>12.207284270062624</v>
      </c>
      <c r="AH51" s="52">
        <v>12.257938003113106</v>
      </c>
      <c r="AI51" s="52">
        <v>12.308715504487743</v>
      </c>
      <c r="AJ51" s="52">
        <v>12.359616686136839</v>
      </c>
      <c r="AK51" s="52">
        <v>12.410641448457906</v>
      </c>
      <c r="AL51" s="52">
        <v>12.461789680420386</v>
      </c>
      <c r="AM51" s="52">
        <v>12.513061259703592</v>
      </c>
      <c r="AN51" s="52">
        <v>12.564456052848207</v>
      </c>
    </row>
    <row r="52" spans="2:40" ht="24.5" customHeight="1" x14ac:dyDescent="0.2">
      <c r="B52" s="2">
        <f t="shared" si="8"/>
        <v>9.5</v>
      </c>
      <c r="C52" s="7">
        <f t="shared" si="9"/>
        <v>0.99992515377248936</v>
      </c>
      <c r="D52" s="3">
        <f t="shared" si="7"/>
        <v>0.99996053275489938</v>
      </c>
      <c r="K52" s="85"/>
      <c r="L52" s="64">
        <f t="shared" si="6"/>
        <v>3.6000000000000019</v>
      </c>
      <c r="M52" s="52">
        <v>12.269724060686173</v>
      </c>
      <c r="N52" s="52">
        <v>12.319761563717893</v>
      </c>
      <c r="O52" s="52">
        <v>12.369920825036877</v>
      </c>
      <c r="P52" s="52">
        <v>12.420201816473536</v>
      </c>
      <c r="Q52" s="52">
        <v>12.470604497310664</v>
      </c>
      <c r="R52" s="52">
        <v>12.52112881431831</v>
      </c>
      <c r="S52" s="52">
        <v>12.571774701813526</v>
      </c>
      <c r="T52" s="52">
        <v>12.622542081730744</v>
      </c>
      <c r="U52" s="52">
        <v>12.673430863712857</v>
      </c>
      <c r="V52" s="52">
        <v>12.724440945219829</v>
      </c>
      <c r="W52" s="52">
        <v>12.775572211646288</v>
      </c>
      <c r="X52" s="52">
        <v>12.82682453646772</v>
      </c>
      <c r="Y52" s="52">
        <v>12.878197781390035</v>
      </c>
      <c r="Z52" s="52">
        <v>12.929691796524745</v>
      </c>
      <c r="AA52" s="52">
        <v>12.981306420570672</v>
      </c>
      <c r="AB52" s="52">
        <v>13.033041481022185</v>
      </c>
      <c r="AC52" s="52">
        <v>13.084896794380647</v>
      </c>
      <c r="AD52" s="52">
        <v>13.13687216638427</v>
      </c>
      <c r="AE52" s="52">
        <v>13.188967392259109</v>
      </c>
      <c r="AF52" s="52">
        <v>13.241182256971799</v>
      </c>
      <c r="AG52" s="52">
        <v>13.293516535506102</v>
      </c>
      <c r="AH52" s="52">
        <v>13.34596999314096</v>
      </c>
      <c r="AI52" s="52">
        <v>13.398542385755452</v>
      </c>
      <c r="AJ52" s="52">
        <v>13.451233460133983</v>
      </c>
      <c r="AK52" s="52">
        <v>13.504042954283802</v>
      </c>
      <c r="AL52" s="52">
        <v>13.556970597772491</v>
      </c>
      <c r="AM52" s="52">
        <v>13.6100161120634</v>
      </c>
      <c r="AN52" s="52">
        <v>13.66317921087116</v>
      </c>
    </row>
    <row r="53" spans="2:40" ht="24.5" customHeight="1" x14ac:dyDescent="0.2">
      <c r="B53" s="2">
        <f t="shared" si="8"/>
        <v>10</v>
      </c>
      <c r="C53" s="7">
        <f t="shared" si="9"/>
        <v>0.99995460213129761</v>
      </c>
      <c r="D53" s="3">
        <f t="shared" si="7"/>
        <v>0.99998632599091541</v>
      </c>
      <c r="K53" s="85"/>
      <c r="L53" s="64">
        <f t="shared" si="6"/>
        <v>3.700000000000002</v>
      </c>
      <c r="M53" s="52">
        <v>13.347334283243484</v>
      </c>
      <c r="N53" s="52">
        <v>13.399161340265062</v>
      </c>
      <c r="O53" s="52">
        <v>13.451106343082975</v>
      </c>
      <c r="P53" s="52">
        <v>13.503169078666938</v>
      </c>
      <c r="Q53" s="52">
        <v>13.555349323144316</v>
      </c>
      <c r="R53" s="52">
        <v>13.607646842078559</v>
      </c>
      <c r="S53" s="52">
        <v>13.660061390752231</v>
      </c>
      <c r="T53" s="52">
        <v>13.71259271446905</v>
      </c>
      <c r="U53" s="52">
        <v>13.765240548863979</v>
      </c>
      <c r="V53" s="52">
        <v>13.818004620223229</v>
      </c>
      <c r="W53" s="52">
        <v>13.870884645821628</v>
      </c>
      <c r="X53" s="52">
        <v>13.923880334263307</v>
      </c>
      <c r="Y53" s="52">
        <v>13.976991385839677</v>
      </c>
      <c r="Z53" s="52">
        <v>14.03021749288795</v>
      </c>
      <c r="AA53" s="52">
        <v>14.083558340165883</v>
      </c>
      <c r="AB53" s="52">
        <v>14.137013605235243</v>
      </c>
      <c r="AC53" s="52">
        <v>14.190582958846324</v>
      </c>
      <c r="AD53" s="52">
        <v>14.244266065332143</v>
      </c>
      <c r="AE53" s="52">
        <v>14.298062583018995</v>
      </c>
      <c r="AF53" s="52">
        <v>14.351972164625055</v>
      </c>
      <c r="AG53" s="52">
        <v>14.405994457683633</v>
      </c>
      <c r="AH53" s="52">
        <v>14.46012910495404</v>
      </c>
      <c r="AI53" s="52">
        <v>14.514375744850271</v>
      </c>
      <c r="AJ53" s="52">
        <v>14.568734011866802</v>
      </c>
      <c r="AK53" s="52">
        <v>14.623203537010692</v>
      </c>
      <c r="AL53" s="52">
        <v>14.677783948227798</v>
      </c>
      <c r="AM53" s="52">
        <v>14.732474870849179</v>
      </c>
      <c r="AN53" s="52">
        <v>14.787275928019657</v>
      </c>
    </row>
    <row r="54" spans="2:40" x14ac:dyDescent="0.2">
      <c r="B54" s="2">
        <f t="shared" si="8"/>
        <v>10.5</v>
      </c>
      <c r="C54" s="7">
        <f t="shared" si="9"/>
        <v>0.99997246430888542</v>
      </c>
      <c r="D54" s="3">
        <f t="shared" si="7"/>
        <v>0.99999526251776527</v>
      </c>
    </row>
    <row r="55" spans="2:40" x14ac:dyDescent="0.2">
      <c r="B55" s="2">
        <f t="shared" si="8"/>
        <v>11</v>
      </c>
      <c r="C55" s="7">
        <f t="shared" si="9"/>
        <v>0.99998329857815194</v>
      </c>
      <c r="D55" s="3">
        <f t="shared" si="7"/>
        <v>0.99999835866667164</v>
      </c>
    </row>
    <row r="56" spans="2:40" x14ac:dyDescent="0.2">
      <c r="B56" s="2">
        <f t="shared" si="8"/>
        <v>11.5</v>
      </c>
      <c r="C56" s="7">
        <f t="shared" si="9"/>
        <v>0.99998987000901918</v>
      </c>
      <c r="D56" s="3">
        <f t="shared" si="7"/>
        <v>0.99999943134992175</v>
      </c>
    </row>
    <row r="57" spans="2:40" x14ac:dyDescent="0.2">
      <c r="B57" s="2">
        <f t="shared" si="8"/>
        <v>12</v>
      </c>
      <c r="C57" s="7">
        <f t="shared" si="9"/>
        <v>0.99999385582539779</v>
      </c>
      <c r="D57" s="3">
        <f t="shared" si="7"/>
        <v>0.99999980298780311</v>
      </c>
    </row>
    <row r="58" spans="2:40" x14ac:dyDescent="0.2">
      <c r="B58" s="2">
        <f t="shared" si="8"/>
        <v>12.5</v>
      </c>
      <c r="C58" s="7">
        <f t="shared" si="9"/>
        <v>0.99999627336071584</v>
      </c>
      <c r="D58" s="3">
        <f t="shared" si="7"/>
        <v>0.99999993174397095</v>
      </c>
    </row>
    <row r="59" spans="2:40" x14ac:dyDescent="0.2">
      <c r="B59" s="2">
        <f t="shared" si="8"/>
        <v>13</v>
      </c>
      <c r="C59" s="7">
        <f t="shared" si="9"/>
        <v>0.99999773967570205</v>
      </c>
      <c r="D59" s="3">
        <f t="shared" si="7"/>
        <v>0.99999997635230109</v>
      </c>
    </row>
    <row r="60" spans="2:40" x14ac:dyDescent="0.2">
      <c r="B60" s="2">
        <f t="shared" si="8"/>
        <v>13.5</v>
      </c>
      <c r="C60" s="7">
        <f t="shared" si="9"/>
        <v>0.99999862904279313</v>
      </c>
      <c r="D60" s="3">
        <f t="shared" si="7"/>
        <v>0.99999999180711718</v>
      </c>
    </row>
    <row r="61" spans="2:40" x14ac:dyDescent="0.2">
      <c r="B61" s="2">
        <f t="shared" si="8"/>
        <v>14</v>
      </c>
      <c r="C61" s="7">
        <f t="shared" si="9"/>
        <v>0.99999916847197234</v>
      </c>
      <c r="D61" s="3">
        <f t="shared" ref="D61:D79" si="10">Sigmoid($I$2*B61+$H$2)</f>
        <v>0.9999999971615281</v>
      </c>
    </row>
    <row r="62" spans="2:40" x14ac:dyDescent="0.2">
      <c r="B62" s="2">
        <f t="shared" si="8"/>
        <v>14.5</v>
      </c>
      <c r="C62" s="7">
        <f t="shared" si="9"/>
        <v>0.99999949565259183</v>
      </c>
      <c r="D62" s="3">
        <f t="shared" si="10"/>
        <v>0.99999999901659498</v>
      </c>
    </row>
    <row r="63" spans="2:40" x14ac:dyDescent="0.2">
      <c r="B63" s="2">
        <f t="shared" si="8"/>
        <v>15</v>
      </c>
      <c r="C63" s="7">
        <f t="shared" si="9"/>
        <v>0.99999969409777312</v>
      </c>
      <c r="D63" s="3">
        <f t="shared" si="10"/>
        <v>0.99999999965929365</v>
      </c>
    </row>
    <row r="64" spans="2:40" x14ac:dyDescent="0.2">
      <c r="B64" s="2">
        <f t="shared" si="8"/>
        <v>15.5</v>
      </c>
      <c r="C64" s="7">
        <f t="shared" si="9"/>
        <v>0.99999981446089814</v>
      </c>
      <c r="D64" s="3">
        <f t="shared" si="10"/>
        <v>0.99999999988196031</v>
      </c>
    </row>
    <row r="65" spans="2:4" x14ac:dyDescent="0.2">
      <c r="B65" s="2">
        <f t="shared" si="8"/>
        <v>16</v>
      </c>
      <c r="C65" s="7">
        <f t="shared" si="9"/>
        <v>0.99999988746483792</v>
      </c>
      <c r="D65" s="3">
        <f t="shared" si="10"/>
        <v>0.99999999995910449</v>
      </c>
    </row>
    <row r="66" spans="2:4" x14ac:dyDescent="0.2">
      <c r="B66" s="2">
        <f t="shared" si="8"/>
        <v>16.5</v>
      </c>
      <c r="C66" s="7">
        <f t="shared" si="9"/>
        <v>0.99999993174397095</v>
      </c>
      <c r="D66" s="3">
        <f t="shared" si="10"/>
        <v>0.99999999998583156</v>
      </c>
    </row>
    <row r="67" spans="2:4" x14ac:dyDescent="0.2">
      <c r="B67" s="2">
        <f t="shared" si="8"/>
        <v>17</v>
      </c>
      <c r="C67" s="7">
        <f t="shared" si="9"/>
        <v>0.99999995860062452</v>
      </c>
      <c r="D67" s="3">
        <f t="shared" si="10"/>
        <v>0.99999999999509126</v>
      </c>
    </row>
    <row r="68" spans="2:4" x14ac:dyDescent="0.2">
      <c r="B68" s="2">
        <f t="shared" si="8"/>
        <v>17.5</v>
      </c>
      <c r="C68" s="7">
        <f t="shared" si="9"/>
        <v>0.99999997489000902</v>
      </c>
      <c r="D68" s="3">
        <f t="shared" si="10"/>
        <v>0.99999999999829936</v>
      </c>
    </row>
    <row r="69" spans="2:4" x14ac:dyDescent="0.2">
      <c r="B69" s="2">
        <f t="shared" si="8"/>
        <v>18</v>
      </c>
      <c r="C69" s="7">
        <f t="shared" si="9"/>
        <v>0.9999999847700205</v>
      </c>
      <c r="D69" s="3">
        <f t="shared" si="10"/>
        <v>0.9999999999994108</v>
      </c>
    </row>
    <row r="70" spans="2:4" x14ac:dyDescent="0.2">
      <c r="B70" s="2">
        <f t="shared" si="8"/>
        <v>18.5</v>
      </c>
      <c r="C70" s="7">
        <f t="shared" si="9"/>
        <v>0.99999999076255042</v>
      </c>
      <c r="D70" s="3">
        <f t="shared" si="10"/>
        <v>0.99999999999979583</v>
      </c>
    </row>
    <row r="71" spans="2:4" x14ac:dyDescent="0.2">
      <c r="B71" s="2">
        <f t="shared" si="8"/>
        <v>19</v>
      </c>
      <c r="C71" s="7">
        <f t="shared" si="9"/>
        <v>0.99999999439720355</v>
      </c>
      <c r="D71" s="3">
        <f t="shared" si="10"/>
        <v>0.99999999999992928</v>
      </c>
    </row>
    <row r="72" spans="2:4" x14ac:dyDescent="0.2">
      <c r="B72" s="2">
        <f t="shared" si="8"/>
        <v>19.5</v>
      </c>
      <c r="C72" s="7">
        <f t="shared" si="9"/>
        <v>0.99999999660173222</v>
      </c>
      <c r="D72" s="3">
        <f t="shared" si="10"/>
        <v>0.99999999999997546</v>
      </c>
    </row>
    <row r="73" spans="2:4" x14ac:dyDescent="0.2">
      <c r="B73" s="2">
        <f t="shared" si="8"/>
        <v>20</v>
      </c>
      <c r="C73" s="7">
        <f t="shared" si="9"/>
        <v>0.99999999793884642</v>
      </c>
      <c r="D73" s="3">
        <f t="shared" si="10"/>
        <v>0.99999999999999156</v>
      </c>
    </row>
    <row r="74" spans="2:4" x14ac:dyDescent="0.2">
      <c r="B74" s="2">
        <f t="shared" si="8"/>
        <v>20.5</v>
      </c>
      <c r="C74" s="7">
        <f t="shared" si="9"/>
        <v>0.99999999874984713</v>
      </c>
      <c r="D74" s="3">
        <f t="shared" si="10"/>
        <v>0.99999999999999711</v>
      </c>
    </row>
    <row r="75" spans="2:4" x14ac:dyDescent="0.2">
      <c r="B75" s="2">
        <f t="shared" si="8"/>
        <v>21</v>
      </c>
      <c r="C75" s="7">
        <f t="shared" si="9"/>
        <v>0.99999999924174399</v>
      </c>
      <c r="D75" s="3">
        <f t="shared" si="10"/>
        <v>0.999999999999999</v>
      </c>
    </row>
    <row r="76" spans="2:4" x14ac:dyDescent="0.2">
      <c r="B76" s="2">
        <f t="shared" si="8"/>
        <v>21.5</v>
      </c>
      <c r="C76" s="7">
        <f t="shared" si="9"/>
        <v>0.99999999954009444</v>
      </c>
      <c r="D76" s="3">
        <f t="shared" si="10"/>
        <v>0.99999999999999967</v>
      </c>
    </row>
    <row r="77" spans="2:4" x14ac:dyDescent="0.2">
      <c r="B77" s="2">
        <f t="shared" si="8"/>
        <v>22</v>
      </c>
      <c r="C77" s="7">
        <f t="shared" si="9"/>
        <v>0.99999999972105325</v>
      </c>
      <c r="D77" s="3">
        <f t="shared" si="10"/>
        <v>0.99999999999999989</v>
      </c>
    </row>
    <row r="78" spans="2:4" x14ac:dyDescent="0.2">
      <c r="B78" s="2">
        <f t="shared" si="8"/>
        <v>22.5</v>
      </c>
      <c r="C78" s="7">
        <f t="shared" si="9"/>
        <v>0.99999999983081023</v>
      </c>
      <c r="D78" s="3">
        <f t="shared" si="10"/>
        <v>1</v>
      </c>
    </row>
    <row r="79" spans="2:4" x14ac:dyDescent="0.2">
      <c r="B79" s="2">
        <f t="shared" si="8"/>
        <v>23</v>
      </c>
      <c r="C79" s="7">
        <f t="shared" si="9"/>
        <v>0.9999999998973812</v>
      </c>
      <c r="D79" s="3">
        <f t="shared" si="10"/>
        <v>1</v>
      </c>
    </row>
  </sheetData>
  <mergeCells count="2">
    <mergeCell ref="K22:K53"/>
    <mergeCell ref="M21:AN21"/>
  </mergeCells>
  <conditionalFormatting sqref="C5:C17">
    <cfRule type="cellIs" dxfId="3" priority="9" operator="equal">
      <formula>"Yes"</formula>
    </cfRule>
    <cfRule type="cellIs" dxfId="2" priority="10" operator="equal">
      <formula>"No"</formula>
    </cfRule>
  </conditionalFormatting>
  <conditionalFormatting sqref="D5:D17">
    <cfRule type="cellIs" dxfId="1" priority="7" operator="equal">
      <formula>1</formula>
    </cfRule>
    <cfRule type="cellIs" dxfId="0" priority="8" operator="equal">
      <formula>0</formula>
    </cfRule>
  </conditionalFormatting>
  <conditionalFormatting sqref="G5:I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AN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G22" r:id="rId1" xr:uid="{00000000-0004-0000-0500-000000000000}"/>
  </hyperlinks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6:N41"/>
  <sheetViews>
    <sheetView showGridLines="0" workbookViewId="0">
      <selection activeCell="B45" sqref="B45"/>
    </sheetView>
  </sheetViews>
  <sheetFormatPr baseColWidth="10" defaultColWidth="8.83203125" defaultRowHeight="15" x14ac:dyDescent="0.2"/>
  <cols>
    <col min="2" max="2" width="8" customWidth="1"/>
    <col min="3" max="3" width="4.6640625" customWidth="1"/>
    <col min="4" max="5" width="7.5" customWidth="1"/>
    <col min="6" max="6" width="1.6640625" customWidth="1"/>
    <col min="7" max="7" width="6.33203125" customWidth="1"/>
    <col min="11" max="11" width="28.33203125" bestFit="1" customWidth="1"/>
    <col min="13" max="13" width="2" customWidth="1"/>
    <col min="14" max="14" width="45.1640625" bestFit="1" customWidth="1"/>
  </cols>
  <sheetData>
    <row r="16" spans="4:5" ht="20.5" customHeight="1" x14ac:dyDescent="0.2">
      <c r="D16" s="87" t="s">
        <v>27</v>
      </c>
      <c r="E16" s="87"/>
    </row>
    <row r="17" spans="2:14" ht="20.5" customHeight="1" x14ac:dyDescent="0.2">
      <c r="D17" s="8" t="s">
        <v>5</v>
      </c>
      <c r="E17" s="8" t="s">
        <v>4</v>
      </c>
    </row>
    <row r="18" spans="2:14" ht="30" customHeight="1" thickBot="1" x14ac:dyDescent="0.25">
      <c r="B18" s="86" t="s">
        <v>26</v>
      </c>
      <c r="C18" s="68" t="s">
        <v>5</v>
      </c>
      <c r="D18" s="77">
        <v>127</v>
      </c>
      <c r="E18" s="79">
        <v>9</v>
      </c>
      <c r="F18" s="68"/>
      <c r="G18" s="69">
        <f>SUM(D18:E18)</f>
        <v>136</v>
      </c>
    </row>
    <row r="19" spans="2:14" ht="30" customHeight="1" thickBot="1" x14ac:dyDescent="0.25">
      <c r="B19" s="86"/>
      <c r="C19" s="68" t="s">
        <v>4</v>
      </c>
      <c r="D19" s="76">
        <v>32</v>
      </c>
      <c r="E19" s="78">
        <v>32</v>
      </c>
      <c r="F19" s="68"/>
      <c r="G19" s="69">
        <f>SUM(D19:E19)</f>
        <v>64</v>
      </c>
    </row>
    <row r="20" spans="2:14" ht="7.25" customHeight="1" x14ac:dyDescent="0.2">
      <c r="D20" s="8"/>
      <c r="E20" s="8"/>
      <c r="F20" s="8"/>
      <c r="G20" s="8"/>
    </row>
    <row r="21" spans="2:14" ht="21" customHeight="1" thickBot="1" x14ac:dyDescent="0.25">
      <c r="D21" s="69">
        <f>SUM(D18:D19)</f>
        <v>159</v>
      </c>
      <c r="E21" s="69">
        <f>SUM(E18:E19)</f>
        <v>41</v>
      </c>
      <c r="F21" s="8"/>
      <c r="G21" s="70">
        <f>SUM(G18:G19)</f>
        <v>200</v>
      </c>
    </row>
    <row r="22" spans="2:14" ht="21" customHeight="1" x14ac:dyDescent="0.2">
      <c r="D22" s="68"/>
      <c r="E22" s="68"/>
      <c r="F22" s="8"/>
      <c r="G22" s="68"/>
    </row>
    <row r="23" spans="2:14" ht="27" hidden="1" customHeight="1" x14ac:dyDescent="0.2">
      <c r="D23" s="88" t="s">
        <v>27</v>
      </c>
      <c r="E23" s="88"/>
    </row>
    <row r="24" spans="2:14" ht="27" hidden="1" customHeight="1" x14ac:dyDescent="0.2">
      <c r="D24" s="8" t="s">
        <v>5</v>
      </c>
      <c r="E24" s="8" t="s">
        <v>4</v>
      </c>
    </row>
    <row r="25" spans="2:14" ht="27" hidden="1" customHeight="1" thickBot="1" x14ac:dyDescent="0.25">
      <c r="B25" s="89" t="s">
        <v>26</v>
      </c>
      <c r="C25" s="68" t="s">
        <v>5</v>
      </c>
      <c r="D25" s="77" t="s">
        <v>31</v>
      </c>
      <c r="E25" s="79" t="s">
        <v>32</v>
      </c>
      <c r="F25" s="68"/>
      <c r="G25" s="69" t="s">
        <v>33</v>
      </c>
    </row>
    <row r="26" spans="2:14" ht="27" hidden="1" customHeight="1" thickBot="1" x14ac:dyDescent="0.25">
      <c r="B26" s="89"/>
      <c r="C26" s="68" t="s">
        <v>4</v>
      </c>
      <c r="D26" s="76" t="s">
        <v>34</v>
      </c>
      <c r="E26" s="78" t="s">
        <v>35</v>
      </c>
      <c r="F26" s="68"/>
      <c r="G26" s="69" t="s">
        <v>36</v>
      </c>
    </row>
    <row r="27" spans="2:14" ht="15.5" hidden="1" customHeight="1" x14ac:dyDescent="0.2">
      <c r="D27" s="8"/>
      <c r="E27" s="8"/>
      <c r="F27" s="8"/>
      <c r="G27" s="8"/>
    </row>
    <row r="28" spans="2:14" ht="27" hidden="1" customHeight="1" thickBot="1" x14ac:dyDescent="0.25">
      <c r="D28" s="69" t="s">
        <v>37</v>
      </c>
      <c r="E28" s="69" t="s">
        <v>38</v>
      </c>
      <c r="F28" s="8"/>
      <c r="G28" s="70" t="s">
        <v>39</v>
      </c>
    </row>
    <row r="29" spans="2:14" ht="32.5" customHeight="1" x14ac:dyDescent="0.2">
      <c r="K29" s="72" t="s">
        <v>19</v>
      </c>
      <c r="L29" s="71">
        <f>(D18+E19)/G21</f>
        <v>0.79500000000000004</v>
      </c>
      <c r="N29" s="75" t="s">
        <v>21</v>
      </c>
    </row>
    <row r="30" spans="2:14" ht="32.5" customHeight="1" x14ac:dyDescent="0.2">
      <c r="K30" s="73" t="s">
        <v>20</v>
      </c>
      <c r="L30" s="71">
        <f>(D19+E18)/G21</f>
        <v>0.20499999999999999</v>
      </c>
      <c r="N30" s="75" t="s">
        <v>22</v>
      </c>
    </row>
    <row r="31" spans="2:14" ht="32.5" customHeight="1" x14ac:dyDescent="0.2">
      <c r="K31" s="74" t="s">
        <v>30</v>
      </c>
      <c r="L31" s="71">
        <f>E19/G19</f>
        <v>0.5</v>
      </c>
      <c r="N31" s="75" t="s">
        <v>23</v>
      </c>
    </row>
    <row r="32" spans="2:14" ht="32.5" customHeight="1" x14ac:dyDescent="0.2">
      <c r="K32" s="74" t="s">
        <v>24</v>
      </c>
      <c r="L32" s="71">
        <f>E18/G18</f>
        <v>6.6176470588235295E-2</v>
      </c>
      <c r="N32" s="75" t="s">
        <v>25</v>
      </c>
    </row>
    <row r="33" spans="2:14" ht="32.5" customHeight="1" x14ac:dyDescent="0.2">
      <c r="K33" s="72" t="s">
        <v>28</v>
      </c>
      <c r="L33" s="71">
        <f>E19/E21</f>
        <v>0.78048780487804881</v>
      </c>
      <c r="N33" s="75" t="s">
        <v>29</v>
      </c>
    </row>
    <row r="36" spans="2:14" x14ac:dyDescent="0.2">
      <c r="D36" s="87" t="s">
        <v>27</v>
      </c>
      <c r="E36" s="87"/>
    </row>
    <row r="37" spans="2:14" x14ac:dyDescent="0.2">
      <c r="D37" s="8" t="s">
        <v>5</v>
      </c>
      <c r="E37" s="8" t="s">
        <v>4</v>
      </c>
    </row>
    <row r="38" spans="2:14" ht="25.25" customHeight="1" thickBot="1" x14ac:dyDescent="0.25">
      <c r="B38" s="86" t="s">
        <v>26</v>
      </c>
      <c r="C38" s="68" t="s">
        <v>5</v>
      </c>
      <c r="D38" s="77">
        <v>0</v>
      </c>
      <c r="E38" s="79">
        <v>65</v>
      </c>
      <c r="F38" s="68"/>
      <c r="G38" s="69">
        <f>SUM(D38:E38)</f>
        <v>65</v>
      </c>
    </row>
    <row r="39" spans="2:14" ht="25.25" customHeight="1" thickBot="1" x14ac:dyDescent="0.25">
      <c r="B39" s="86"/>
      <c r="C39" s="68" t="s">
        <v>4</v>
      </c>
      <c r="D39" s="76">
        <v>0</v>
      </c>
      <c r="E39" s="78">
        <v>15</v>
      </c>
      <c r="F39" s="68"/>
      <c r="G39" s="69">
        <f>SUM(D39:E39)</f>
        <v>15</v>
      </c>
    </row>
    <row r="40" spans="2:14" x14ac:dyDescent="0.2">
      <c r="D40" s="8"/>
      <c r="E40" s="8"/>
      <c r="F40" s="8"/>
      <c r="G40" s="8"/>
    </row>
    <row r="41" spans="2:14" ht="25.25" customHeight="1" thickBot="1" x14ac:dyDescent="0.25">
      <c r="D41" s="69">
        <f>SUM(D38:D39)</f>
        <v>0</v>
      </c>
      <c r="E41" s="69">
        <f>SUM(E38:E39)</f>
        <v>80</v>
      </c>
      <c r="F41" s="8"/>
      <c r="G41" s="70">
        <f>SUM(G38:G39)</f>
        <v>80</v>
      </c>
      <c r="K41" s="74" t="s">
        <v>30</v>
      </c>
      <c r="L41" s="71">
        <f>E39/G39</f>
        <v>1</v>
      </c>
      <c r="N41" s="75" t="s">
        <v>23</v>
      </c>
    </row>
  </sheetData>
  <mergeCells count="6">
    <mergeCell ref="B38:B39"/>
    <mergeCell ref="B18:B19"/>
    <mergeCell ref="D16:E16"/>
    <mergeCell ref="D23:E23"/>
    <mergeCell ref="B25:B26"/>
    <mergeCell ref="D36:E3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C2:E10"/>
  <sheetViews>
    <sheetView showGridLines="0" showRowColHeaders="0" zoomScale="220" zoomScaleNormal="220" workbookViewId="0">
      <selection activeCell="G9" sqref="G9"/>
    </sheetView>
  </sheetViews>
  <sheetFormatPr baseColWidth="10" defaultColWidth="8.83203125" defaultRowHeight="15" x14ac:dyDescent="0.2"/>
  <sheetData>
    <row r="2" spans="3:5" x14ac:dyDescent="0.2">
      <c r="D2" s="9" t="s">
        <v>6</v>
      </c>
      <c r="E2" s="9" t="s">
        <v>42</v>
      </c>
    </row>
    <row r="3" spans="3:5" x14ac:dyDescent="0.2">
      <c r="D3" s="82"/>
      <c r="E3" s="82"/>
    </row>
    <row r="4" spans="3:5" x14ac:dyDescent="0.2">
      <c r="D4" s="8">
        <v>1</v>
      </c>
      <c r="E4" s="8">
        <f>1/D4</f>
        <v>1</v>
      </c>
    </row>
    <row r="5" spans="3:5" x14ac:dyDescent="0.2">
      <c r="D5" s="8">
        <v>4</v>
      </c>
      <c r="E5" s="8">
        <f t="shared" ref="E5:E6" si="0">1/D5</f>
        <v>0.25</v>
      </c>
    </row>
    <row r="6" spans="3:5" x14ac:dyDescent="0.2">
      <c r="D6" s="8">
        <v>4</v>
      </c>
      <c r="E6" s="8">
        <f t="shared" si="0"/>
        <v>0.25</v>
      </c>
    </row>
    <row r="7" spans="3:5" x14ac:dyDescent="0.2">
      <c r="D7" s="82"/>
      <c r="E7" s="82"/>
    </row>
    <row r="8" spans="3:5" ht="18.75" customHeight="1" thickBot="1" x14ac:dyDescent="0.25">
      <c r="C8" s="81" t="s">
        <v>40</v>
      </c>
      <c r="D8" s="83">
        <f>SUM(D4:D6)</f>
        <v>9</v>
      </c>
      <c r="E8" s="83">
        <f>SUM(E4:E6)</f>
        <v>1.5</v>
      </c>
    </row>
    <row r="9" spans="3:5" ht="18.75" customHeight="1" x14ac:dyDescent="0.2">
      <c r="C9" s="81" t="s">
        <v>41</v>
      </c>
      <c r="D9" s="8">
        <f>D8/3</f>
        <v>3</v>
      </c>
      <c r="E9" s="82"/>
    </row>
    <row r="10" spans="3:5" ht="18.75" customHeight="1" x14ac:dyDescent="0.2">
      <c r="C10" s="81" t="s">
        <v>43</v>
      </c>
      <c r="D10" s="82"/>
      <c r="E10" s="8">
        <f>3/E8</f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Cancer Model Linear</vt:lpstr>
      <vt:lpstr>Sigmoid</vt:lpstr>
      <vt:lpstr>Cancer model sigmoid</vt:lpstr>
      <vt:lpstr>Parameter Search</vt:lpstr>
      <vt:lpstr>Log cost function</vt:lpstr>
      <vt:lpstr>Log cost parameter search</vt:lpstr>
      <vt:lpstr>Model Quality</vt:lpstr>
      <vt:lpstr>Harmonic Mean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Collins</dc:creator>
  <cp:lastModifiedBy>Microsoft Office User</cp:lastModifiedBy>
  <dcterms:created xsi:type="dcterms:W3CDTF">2019-11-01T12:50:29Z</dcterms:created>
  <dcterms:modified xsi:type="dcterms:W3CDTF">2022-07-12T07:38:24Z</dcterms:modified>
</cp:coreProperties>
</file>